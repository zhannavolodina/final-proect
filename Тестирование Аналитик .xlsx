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/>
  <mc:AlternateContent xmlns:mc="http://schemas.openxmlformats.org/markup-compatibility/2006">
    <mc:Choice Requires="x15">
      <x15ac:absPath xmlns:x15ac="http://schemas.microsoft.com/office/spreadsheetml/2010/11/ac" url="C:\Users\Denver\Desktop\"/>
    </mc:Choice>
  </mc:AlternateContent>
  <xr:revisionPtr revIDLastSave="0" documentId="13_ncr:1_{F85A9C5E-1C21-4B3D-949C-8C8C7325F1C2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Лист1" sheetId="1" r:id="rId1"/>
    <sheet name="Лист2" sheetId="2" r:id="rId2"/>
    <sheet name="свод.таб" sheetId="3" r:id="rId3"/>
    <sheet name="топ-3 территорий" sheetId="4" r:id="rId4"/>
    <sheet name="Лист5" sheetId="5" r:id="rId5"/>
  </sheets>
  <definedNames>
    <definedName name="_xlnm._FilterDatabase" localSheetId="0" hidden="1">Лист1!$A$1:$I$505</definedName>
  </definedName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A1" i="5" l="1" a="1"/>
  <c r="A1" i="5" s="1"/>
  <c r="C3" i="5"/>
  <c r="C4" i="5"/>
  <c r="C5" i="5"/>
  <c r="C6" i="5"/>
  <c r="C7" i="5"/>
  <c r="C8" i="5"/>
  <c r="C2" i="5"/>
  <c r="B2" i="5"/>
  <c r="B3" i="5"/>
  <c r="B4" i="5"/>
  <c r="B5" i="5"/>
  <c r="B6" i="5"/>
  <c r="B7" i="5"/>
  <c r="B8" i="5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2" i="1"/>
  <c r="M2" i="1" a="1"/>
  <c r="M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9" i="1"/>
  <c r="H17" i="1"/>
  <c r="H25" i="1"/>
  <c r="H33" i="1"/>
  <c r="H41" i="1"/>
  <c r="H49" i="1"/>
  <c r="H57" i="1"/>
  <c r="H65" i="1"/>
  <c r="H73" i="1"/>
  <c r="H81" i="1"/>
  <c r="H89" i="1"/>
  <c r="H97" i="1"/>
  <c r="H105" i="1"/>
  <c r="H113" i="1"/>
  <c r="H121" i="1"/>
  <c r="H129" i="1"/>
  <c r="H137" i="1"/>
  <c r="H145" i="1"/>
  <c r="H153" i="1"/>
  <c r="H161" i="1"/>
  <c r="H169" i="1"/>
  <c r="H177" i="1"/>
  <c r="H185" i="1"/>
  <c r="H193" i="1"/>
  <c r="H201" i="1"/>
  <c r="H209" i="1"/>
  <c r="H217" i="1"/>
  <c r="H225" i="1"/>
  <c r="H233" i="1"/>
  <c r="H241" i="1"/>
  <c r="H249" i="1"/>
  <c r="H257" i="1"/>
  <c r="H265" i="1"/>
  <c r="H273" i="1"/>
  <c r="H281" i="1"/>
  <c r="H289" i="1"/>
  <c r="H297" i="1"/>
  <c r="H305" i="1"/>
  <c r="H313" i="1"/>
  <c r="H321" i="1"/>
  <c r="H329" i="1"/>
  <c r="H337" i="1"/>
  <c r="H345" i="1"/>
  <c r="H353" i="1"/>
  <c r="H361" i="1"/>
  <c r="H369" i="1"/>
  <c r="H377" i="1"/>
  <c r="H385" i="1"/>
  <c r="H393" i="1"/>
  <c r="H401" i="1"/>
  <c r="H409" i="1"/>
  <c r="H417" i="1"/>
  <c r="H425" i="1"/>
  <c r="H433" i="1"/>
  <c r="H441" i="1"/>
  <c r="H449" i="1"/>
  <c r="H457" i="1"/>
  <c r="H465" i="1"/>
  <c r="H473" i="1"/>
  <c r="H481" i="1"/>
  <c r="H489" i="1"/>
  <c r="H497" i="1"/>
  <c r="H5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2" i="1"/>
  <c r="H2" i="1" s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H72" i="1" s="1"/>
  <c r="E73" i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E82" i="1"/>
  <c r="H82" i="1" s="1"/>
  <c r="E83" i="1"/>
  <c r="H83" i="1" s="1"/>
  <c r="E84" i="1"/>
  <c r="H84" i="1" s="1"/>
  <c r="E85" i="1"/>
  <c r="H85" i="1" s="1"/>
  <c r="E86" i="1"/>
  <c r="H86" i="1" s="1"/>
  <c r="E87" i="1"/>
  <c r="H87" i="1" s="1"/>
  <c r="E88" i="1"/>
  <c r="H88" i="1" s="1"/>
  <c r="E89" i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H208" i="1" s="1"/>
  <c r="E209" i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E281" i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E290" i="1"/>
  <c r="H290" i="1" s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<sst xmlns="http://schemas.openxmlformats.org/spreadsheetml/2006/main" count="1151" uniqueCount="49">
  <si>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</si>
  <si>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</si>
  <si>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</si>
  <si>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</si>
  <si>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</si>
  <si>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</si>
  <si>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</si>
  <si>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</si>
  <si>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</si>
  <si>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</si>
  <si>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</si>
  <si>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</si>
  <si>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</si>
  <si>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</si>
  <si>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</si>
  <si>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</si>
  <si>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</si>
  <si>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</si>
  <si>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</si>
  <si>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</si>
  <si>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</si>
  <si>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</si>
  <si>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</si>
  <si>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</si>
  <si>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</si>
  <si>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</si>
  <si>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</si>
  <si>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столбцов</t>
  </si>
  <si>
    <t>Общий итог</t>
  </si>
  <si>
    <t>Названия строк</t>
  </si>
  <si>
    <t>апр</t>
  </si>
  <si>
    <t>май</t>
  </si>
  <si>
    <t>июн</t>
  </si>
  <si>
    <t>Сумма по полю Товарооборот, руб</t>
  </si>
  <si>
    <t>Итог Сумма по полю Товарооборот, руб</t>
  </si>
  <si>
    <t>Итог Сумма по полю Товарооборот, шт</t>
  </si>
  <si>
    <t>Сумма по полю Товарооборот, шт</t>
  </si>
  <si>
    <t>Итог Сумма по полю Количество заказов</t>
  </si>
  <si>
    <t>Сумма по полю Количество заказов</t>
  </si>
  <si>
    <t>Итог Сумма по полю Количество клиентов</t>
  </si>
  <si>
    <t>Сумма по полю Количество клиентов</t>
  </si>
  <si>
    <t>Суммарный товарооборот по территориям</t>
  </si>
  <si>
    <t>Макс неделя</t>
  </si>
  <si>
    <t>Сумма товарооборота на склад</t>
  </si>
  <si>
    <t>Уник.терит</t>
  </si>
  <si>
    <t>доля тер</t>
  </si>
  <si>
    <t>Сумма по полю Товарооборот на склад</t>
  </si>
  <si>
    <t>товарооборот</t>
  </si>
  <si>
    <t>т.о.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</si>
</sst>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0" formatCode="0.000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applyNumberForma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Лист5!$A$1</c:f>
              <c:strCache>
                <c:ptCount val="1"/>
                <c:pt idx="0">
                  <c:v>Неделя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Лист5!$A$2:$A$7</c:f>
              <c:numCache>
                <c:formatCode>General</c:formatCode>
                <c:ptCount val="6"/>
                <c:pt idx="0">
                  <c:v>22</c:v>
                </c:pt>
                <c:pt idx="1">
                  <c:v>20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5-4697-8F70-DB93C907BFDE}"/>
            </c:ext>
          </c:extLst>
        </c:ser>
        <c:ser>
          <c:idx val="1"/>
          <c:order val="1"/>
          <c:tx>
            <c:strRef>
              <c:f>Лист5!$B$1</c:f>
              <c:strCache>
                <c:ptCount val="1"/>
                <c:pt idx="0">
                  <c:v>товарооборот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Лист5!$B$2:$B$7</c:f>
              <c:numCache>
                <c:formatCode>General</c:formatCode>
                <c:ptCount val="6"/>
                <c:pt idx="0">
                  <c:v>10730598</c:v>
                </c:pt>
                <c:pt idx="1">
                  <c:v>9594378</c:v>
                </c:pt>
                <c:pt idx="2">
                  <c:v>10475296.5</c:v>
                </c:pt>
                <c:pt idx="3">
                  <c:v>9783292.5</c:v>
                </c:pt>
                <c:pt idx="4">
                  <c:v>8240286</c:v>
                </c:pt>
                <c:pt idx="5">
                  <c:v>1354929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5-4697-8F70-DB93C907BFDE}"/>
            </c:ext>
          </c:extLst>
        </c:ser>
        <c:ser>
          <c:idx val="2"/>
          <c:order val="2"/>
          <c:tx>
            <c:strRef>
              <c:f>Лист5!$C$1</c:f>
              <c:strCache>
                <c:ptCount val="1"/>
                <c:pt idx="0">
                  <c:v>т.о. на склад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Лист5!$C$2:$C$7</c:f>
              <c:numCache>
                <c:formatCode>General</c:formatCode>
                <c:ptCount val="6"/>
                <c:pt idx="0">
                  <c:v>4026</c:v>
                </c:pt>
                <c:pt idx="1">
                  <c:v>3528</c:v>
                </c:pt>
                <c:pt idx="2">
                  <c:v>3528</c:v>
                </c:pt>
                <c:pt idx="3">
                  <c:v>3528</c:v>
                </c:pt>
                <c:pt idx="4">
                  <c:v>2952</c:v>
                </c:pt>
                <c:pt idx="5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5-4697-8F70-DB93C907B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1483200"/>
        <c:axId val="461488960"/>
      </c:barChart>
      <c:catAx>
        <c:axId val="46148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88960"/>
        <c:crosses val="autoZero"/>
        <c:auto val="1"/>
        <c:lblAlgn val="ctr"/>
        <c:lblOffset val="100"/>
        <c:noMultiLvlLbl val="0"/>
      </c:catAx>
      <c:valAx>
        <c:axId val="46148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8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0</xdr:row>
      <xdr:rowOff>125730</xdr:rowOff>
    </xdr:from>
    <xdr:to>
      <xdr:col>12</xdr:col>
      <xdr:colOff>259080</xdr:colOff>
      <xdr:row>15</xdr:row>
      <xdr:rowOff>125730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829608E-208B-02D8-94F2-0DF71411E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ver" refreshedDate="46030.18392708333" createdVersion="8" refreshedVersion="8" minRefreshableVersion="3" recordCount="504" xr:uid="{8CB2031E-C38B-4F7F-BD93-240A235A77A7}">
  <cacheSource type="worksheet">
    <worksheetSource ref="A1:I505" sheet="Лист1"/>
  </cacheSource>
  <cacheFields count="11">
    <cacheField name="Дата" numFmtId="164">
      <sharedItems containsSemiMixedTypes="0" containsNonDate="0" containsDate="1" containsString="0" minDate="2020-04-28T00:00:00" maxDate="2020-06-02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  <fieldGroup par="1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36" maxValue="37"/>
    </cacheField>
    <cacheField name="Количество заказов" numFmtId="0">
      <sharedItems containsSemiMixedTypes="0" containsString="0" containsNumber="1" containsInteger="1" minValue="3442" maxValue="6645"/>
    </cacheField>
    <cacheField name="Количество клиентов" numFmtId="0">
      <sharedItems containsSemiMixedTypes="0" containsString="0" containsNumber="1" containsInteger="1" minValue="3147" maxValue="6122"/>
    </cacheField>
    <cacheField name="Товарооборот на склад" numFmtId="170">
      <sharedItems containsSemiMixedTypes="0" containsString="0" containsNumber="1" minValue="119.04166666666667" maxValue="14175.162162162162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Дни (Дата)" numFmtId="0" databaseField="0">
      <fieldGroup base="0">
        <rangePr groupBy="days" startDate="2020-04-28T00:00:00" endDate="2020-06-02T00:00:00"/>
        <groupItems count="368">
          <s v="&lt;28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Месяцы (Дата)" numFmtId="0" databaseField="0">
      <fieldGroup base="0">
        <rangePr groupBy="months" startDate="2020-04-28T00:00:00" endDate="2020-06-02T00:00:00"/>
        <groupItems count="14">
          <s v="&lt;28.04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n v="7944"/>
    <x v="0"/>
    <n v="37"/>
    <n v="5215"/>
    <n v="4848"/>
    <n v="214.70270270270271"/>
    <x v="0"/>
  </r>
  <r>
    <x v="1"/>
    <x v="0"/>
    <n v="10029"/>
    <x v="1"/>
    <n v="37"/>
    <n v="6645"/>
    <n v="6122"/>
    <n v="271.05405405405406"/>
    <x v="0"/>
  </r>
  <r>
    <x v="2"/>
    <x v="0"/>
    <n v="8536.5"/>
    <x v="2"/>
    <n v="37"/>
    <n v="4840"/>
    <n v="4475"/>
    <n v="230.71621621621622"/>
    <x v="0"/>
  </r>
  <r>
    <x v="3"/>
    <x v="1"/>
    <n v="38947.5"/>
    <x v="3"/>
    <n v="36"/>
    <n v="5286"/>
    <n v="4867"/>
    <n v="1081.875"/>
    <x v="1"/>
  </r>
  <r>
    <x v="4"/>
    <x v="1"/>
    <n v="31842"/>
    <x v="4"/>
    <n v="36"/>
    <n v="5094"/>
    <n v="4716"/>
    <n v="884.5"/>
    <x v="2"/>
  </r>
  <r>
    <x v="5"/>
    <x v="1"/>
    <n v="32023.5"/>
    <x v="5"/>
    <n v="36"/>
    <n v="4918"/>
    <n v="4554"/>
    <n v="889.54166666666663"/>
    <x v="1"/>
  </r>
  <r>
    <x v="6"/>
    <x v="1"/>
    <n v="31147.5"/>
    <x v="6"/>
    <n v="36"/>
    <n v="5413"/>
    <n v="4959"/>
    <n v="865.20833333333337"/>
    <x v="3"/>
  </r>
  <r>
    <x v="7"/>
    <x v="1"/>
    <n v="25566"/>
    <x v="7"/>
    <n v="36"/>
    <n v="4508"/>
    <n v="4149"/>
    <n v="710.16666666666663"/>
    <x v="3"/>
  </r>
  <r>
    <x v="8"/>
    <x v="1"/>
    <n v="29319"/>
    <x v="8"/>
    <n v="36"/>
    <n v="4937"/>
    <n v="4561"/>
    <n v="814.41666666666663"/>
    <x v="4"/>
  </r>
  <r>
    <x v="9"/>
    <x v="1"/>
    <n v="29031"/>
    <x v="9"/>
    <n v="36"/>
    <n v="3442"/>
    <n v="3147"/>
    <n v="806.41666666666663"/>
    <x v="4"/>
  </r>
  <r>
    <x v="10"/>
    <x v="1"/>
    <n v="33423"/>
    <x v="10"/>
    <n v="36"/>
    <n v="4770"/>
    <n v="4424"/>
    <n v="928.41666666666663"/>
    <x v="0"/>
  </r>
  <r>
    <x v="11"/>
    <x v="1"/>
    <n v="32487"/>
    <x v="11"/>
    <n v="36"/>
    <n v="5457"/>
    <n v="4916"/>
    <n v="902.41666666666663"/>
    <x v="4"/>
  </r>
  <r>
    <x v="12"/>
    <x v="1"/>
    <n v="28219.5"/>
    <x v="12"/>
    <n v="36"/>
    <n v="4418"/>
    <n v="4088"/>
    <n v="783.875"/>
    <x v="1"/>
  </r>
  <r>
    <x v="13"/>
    <x v="1"/>
    <n v="31272"/>
    <x v="13"/>
    <n v="36"/>
    <n v="4816"/>
    <n v="4452"/>
    <n v="868.66666666666663"/>
    <x v="2"/>
  </r>
  <r>
    <x v="14"/>
    <x v="1"/>
    <n v="34077"/>
    <x v="14"/>
    <n v="36"/>
    <n v="5914"/>
    <n v="5384"/>
    <n v="946.58333333333337"/>
    <x v="2"/>
  </r>
  <r>
    <x v="15"/>
    <x v="1"/>
    <n v="31566"/>
    <x v="15"/>
    <n v="36"/>
    <n v="4575"/>
    <n v="4206"/>
    <n v="876.83333333333337"/>
    <x v="3"/>
  </r>
  <r>
    <x v="16"/>
    <x v="1"/>
    <n v="26940"/>
    <x v="16"/>
    <n v="36"/>
    <n v="4923"/>
    <n v="4560"/>
    <n v="748.33333333333337"/>
    <x v="4"/>
  </r>
  <r>
    <x v="17"/>
    <x v="1"/>
    <n v="29241"/>
    <x v="17"/>
    <n v="36"/>
    <n v="4967"/>
    <n v="4583"/>
    <n v="812.25"/>
    <x v="1"/>
  </r>
  <r>
    <x v="18"/>
    <x v="1"/>
    <n v="26082"/>
    <x v="18"/>
    <n v="36"/>
    <n v="4751"/>
    <n v="4370"/>
    <n v="724.5"/>
    <x v="4"/>
  </r>
  <r>
    <x v="19"/>
    <x v="1"/>
    <n v="32511"/>
    <x v="19"/>
    <n v="36"/>
    <n v="4384"/>
    <n v="4025"/>
    <n v="903.08333333333337"/>
    <x v="3"/>
  </r>
  <r>
    <x v="20"/>
    <x v="1"/>
    <n v="42703.5"/>
    <x v="20"/>
    <n v="36"/>
    <n v="5651"/>
    <n v="5212"/>
    <n v="1186.2083333333333"/>
    <x v="2"/>
  </r>
  <r>
    <x v="21"/>
    <x v="1"/>
    <n v="35592"/>
    <x v="21"/>
    <n v="36"/>
    <n v="4641"/>
    <n v="4274"/>
    <n v="988.66666666666663"/>
    <x v="0"/>
  </r>
  <r>
    <x v="22"/>
    <x v="1"/>
    <n v="30445.5"/>
    <x v="22"/>
    <n v="36"/>
    <n v="5143"/>
    <n v="4715"/>
    <n v="845.70833333333337"/>
    <x v="4"/>
  </r>
  <r>
    <x v="23"/>
    <x v="1"/>
    <n v="36619.5"/>
    <x v="23"/>
    <n v="36"/>
    <n v="5746"/>
    <n v="5277"/>
    <n v="1017.2083333333334"/>
    <x v="3"/>
  </r>
  <r>
    <x v="24"/>
    <x v="1"/>
    <n v="29409"/>
    <x v="24"/>
    <n v="36"/>
    <n v="4199"/>
    <n v="3867"/>
    <n v="816.91666666666663"/>
    <x v="3"/>
  </r>
  <r>
    <x v="25"/>
    <x v="1"/>
    <n v="27018"/>
    <x v="25"/>
    <n v="36"/>
    <n v="4826"/>
    <n v="4426"/>
    <n v="750.5"/>
    <x v="3"/>
  </r>
  <r>
    <x v="26"/>
    <x v="1"/>
    <n v="34303.5"/>
    <x v="26"/>
    <n v="36"/>
    <n v="4915"/>
    <n v="4562"/>
    <n v="952.875"/>
    <x v="2"/>
  </r>
  <r>
    <x v="0"/>
    <x v="1"/>
    <n v="36999"/>
    <x v="27"/>
    <n v="37"/>
    <n v="5215"/>
    <n v="4848"/>
    <n v="999.97297297297303"/>
    <x v="0"/>
  </r>
  <r>
    <x v="1"/>
    <x v="1"/>
    <n v="44001"/>
    <x v="28"/>
    <n v="37"/>
    <n v="6645"/>
    <n v="6122"/>
    <n v="1189.2162162162163"/>
    <x v="0"/>
  </r>
  <r>
    <x v="2"/>
    <x v="1"/>
    <n v="30982.5"/>
    <x v="29"/>
    <n v="37"/>
    <n v="4840"/>
    <n v="4475"/>
    <n v="837.3648648648649"/>
    <x v="0"/>
  </r>
  <r>
    <x v="3"/>
    <x v="2"/>
    <n v="88063.5"/>
    <x v="30"/>
    <n v="36"/>
    <n v="5286"/>
    <n v="4867"/>
    <n v="2446.2083333333335"/>
    <x v="1"/>
  </r>
  <r>
    <x v="4"/>
    <x v="2"/>
    <n v="84024"/>
    <x v="31"/>
    <n v="36"/>
    <n v="5094"/>
    <n v="4716"/>
    <n v="2334"/>
    <x v="2"/>
  </r>
  <r>
    <x v="5"/>
    <x v="2"/>
    <n v="78057"/>
    <x v="32"/>
    <n v="36"/>
    <n v="4918"/>
    <n v="4554"/>
    <n v="2168.25"/>
    <x v="1"/>
  </r>
  <r>
    <x v="6"/>
    <x v="2"/>
    <n v="69720"/>
    <x v="33"/>
    <n v="36"/>
    <n v="5413"/>
    <n v="4959"/>
    <n v="1936.6666666666667"/>
    <x v="3"/>
  </r>
  <r>
    <x v="7"/>
    <x v="2"/>
    <n v="72928.5"/>
    <x v="34"/>
    <n v="36"/>
    <n v="4508"/>
    <n v="4149"/>
    <n v="2025.7916666666667"/>
    <x v="3"/>
  </r>
  <r>
    <x v="8"/>
    <x v="2"/>
    <n v="79527"/>
    <x v="35"/>
    <n v="36"/>
    <n v="4937"/>
    <n v="4561"/>
    <n v="2209.0833333333335"/>
    <x v="4"/>
  </r>
  <r>
    <x v="9"/>
    <x v="2"/>
    <n v="60463.5"/>
    <x v="36"/>
    <n v="36"/>
    <n v="3442"/>
    <n v="3147"/>
    <n v="1679.5416666666667"/>
    <x v="4"/>
  </r>
  <r>
    <x v="10"/>
    <x v="2"/>
    <n v="79975.5"/>
    <x v="37"/>
    <n v="36"/>
    <n v="4770"/>
    <n v="4424"/>
    <n v="2221.5416666666665"/>
    <x v="0"/>
  </r>
  <r>
    <x v="11"/>
    <x v="2"/>
    <n v="97534.5"/>
    <x v="38"/>
    <n v="36"/>
    <n v="5457"/>
    <n v="4916"/>
    <n v="2709.2916666666665"/>
    <x v="4"/>
  </r>
  <r>
    <x v="12"/>
    <x v="2"/>
    <n v="71520"/>
    <x v="39"/>
    <n v="36"/>
    <n v="4418"/>
    <n v="4088"/>
    <n v="1986.6666666666667"/>
    <x v="1"/>
  </r>
  <r>
    <x v="13"/>
    <x v="2"/>
    <n v="79485"/>
    <x v="40"/>
    <n v="36"/>
    <n v="4816"/>
    <n v="4452"/>
    <n v="2207.9166666666665"/>
    <x v="2"/>
  </r>
  <r>
    <x v="14"/>
    <x v="2"/>
    <n v="93313.5"/>
    <x v="41"/>
    <n v="36"/>
    <n v="5914"/>
    <n v="5384"/>
    <n v="2592.0416666666665"/>
    <x v="2"/>
  </r>
  <r>
    <x v="15"/>
    <x v="2"/>
    <n v="76585.5"/>
    <x v="42"/>
    <n v="36"/>
    <n v="4575"/>
    <n v="4206"/>
    <n v="2127.375"/>
    <x v="3"/>
  </r>
  <r>
    <x v="16"/>
    <x v="2"/>
    <n v="81826.5"/>
    <x v="43"/>
    <n v="36"/>
    <n v="4923"/>
    <n v="4560"/>
    <n v="2272.9583333333335"/>
    <x v="4"/>
  </r>
  <r>
    <x v="17"/>
    <x v="2"/>
    <n v="78846"/>
    <x v="44"/>
    <n v="36"/>
    <n v="4967"/>
    <n v="4583"/>
    <n v="2190.1666666666665"/>
    <x v="1"/>
  </r>
  <r>
    <x v="18"/>
    <x v="2"/>
    <n v="77263.5"/>
    <x v="45"/>
    <n v="36"/>
    <n v="4751"/>
    <n v="4370"/>
    <n v="2146.2083333333335"/>
    <x v="4"/>
  </r>
  <r>
    <x v="19"/>
    <x v="2"/>
    <n v="68994"/>
    <x v="46"/>
    <n v="36"/>
    <n v="4384"/>
    <n v="4025"/>
    <n v="1916.5"/>
    <x v="3"/>
  </r>
  <r>
    <x v="20"/>
    <x v="2"/>
    <n v="102889.5"/>
    <x v="47"/>
    <n v="36"/>
    <n v="5651"/>
    <n v="5212"/>
    <n v="2858.0416666666665"/>
    <x v="2"/>
  </r>
  <r>
    <x v="21"/>
    <x v="2"/>
    <n v="76999.5"/>
    <x v="48"/>
    <n v="36"/>
    <n v="4641"/>
    <n v="4274"/>
    <n v="2138.875"/>
    <x v="0"/>
  </r>
  <r>
    <x v="22"/>
    <x v="2"/>
    <n v="77565"/>
    <x v="49"/>
    <n v="36"/>
    <n v="5143"/>
    <n v="4715"/>
    <n v="2154.5833333333335"/>
    <x v="4"/>
  </r>
  <r>
    <x v="23"/>
    <x v="2"/>
    <n v="84132"/>
    <x v="50"/>
    <n v="36"/>
    <n v="5746"/>
    <n v="5277"/>
    <n v="2337"/>
    <x v="3"/>
  </r>
  <r>
    <x v="24"/>
    <x v="2"/>
    <n v="69544.5"/>
    <x v="51"/>
    <n v="36"/>
    <n v="4199"/>
    <n v="3867"/>
    <n v="1931.7916666666667"/>
    <x v="3"/>
  </r>
  <r>
    <x v="25"/>
    <x v="2"/>
    <n v="73204.5"/>
    <x v="52"/>
    <n v="36"/>
    <n v="4826"/>
    <n v="4426"/>
    <n v="2033.4583333333333"/>
    <x v="3"/>
  </r>
  <r>
    <x v="26"/>
    <x v="2"/>
    <n v="76663.5"/>
    <x v="53"/>
    <n v="36"/>
    <n v="4915"/>
    <n v="4562"/>
    <n v="2129.5416666666665"/>
    <x v="2"/>
  </r>
  <r>
    <x v="3"/>
    <x v="3"/>
    <n v="14265"/>
    <x v="54"/>
    <n v="36"/>
    <n v="5286"/>
    <n v="4867"/>
    <n v="396.25"/>
    <x v="1"/>
  </r>
  <r>
    <x v="4"/>
    <x v="3"/>
    <n v="11526"/>
    <x v="55"/>
    <n v="36"/>
    <n v="5094"/>
    <n v="4716"/>
    <n v="320.16666666666669"/>
    <x v="2"/>
  </r>
  <r>
    <x v="5"/>
    <x v="3"/>
    <n v="10402.5"/>
    <x v="56"/>
    <n v="36"/>
    <n v="4918"/>
    <n v="4554"/>
    <n v="288.95833333333331"/>
    <x v="1"/>
  </r>
  <r>
    <x v="6"/>
    <x v="3"/>
    <n v="13216.5"/>
    <x v="57"/>
    <n v="36"/>
    <n v="5413"/>
    <n v="4959"/>
    <n v="367.125"/>
    <x v="3"/>
  </r>
  <r>
    <x v="7"/>
    <x v="3"/>
    <n v="9130.5"/>
    <x v="58"/>
    <n v="36"/>
    <n v="4508"/>
    <n v="4149"/>
    <n v="253.625"/>
    <x v="3"/>
  </r>
  <r>
    <x v="8"/>
    <x v="3"/>
    <n v="10840.5"/>
    <x v="59"/>
    <n v="36"/>
    <n v="4937"/>
    <n v="4561"/>
    <n v="301.125"/>
    <x v="4"/>
  </r>
  <r>
    <x v="9"/>
    <x v="3"/>
    <n v="7866"/>
    <x v="60"/>
    <n v="36"/>
    <n v="3442"/>
    <n v="3147"/>
    <n v="218.5"/>
    <x v="4"/>
  </r>
  <r>
    <x v="10"/>
    <x v="3"/>
    <n v="11835"/>
    <x v="61"/>
    <n v="36"/>
    <n v="4770"/>
    <n v="4424"/>
    <n v="328.75"/>
    <x v="0"/>
  </r>
  <r>
    <x v="11"/>
    <x v="3"/>
    <n v="11619"/>
    <x v="62"/>
    <n v="36"/>
    <n v="5457"/>
    <n v="4916"/>
    <n v="322.75"/>
    <x v="4"/>
  </r>
  <r>
    <x v="12"/>
    <x v="3"/>
    <n v="9328.5"/>
    <x v="63"/>
    <n v="36"/>
    <n v="4418"/>
    <n v="4088"/>
    <n v="259.125"/>
    <x v="1"/>
  </r>
  <r>
    <x v="13"/>
    <x v="3"/>
    <n v="11250"/>
    <x v="64"/>
    <n v="36"/>
    <n v="4816"/>
    <n v="4452"/>
    <n v="312.5"/>
    <x v="2"/>
  </r>
  <r>
    <x v="14"/>
    <x v="3"/>
    <n v="13063.5"/>
    <x v="65"/>
    <n v="36"/>
    <n v="5914"/>
    <n v="5384"/>
    <n v="362.875"/>
    <x v="2"/>
  </r>
  <r>
    <x v="15"/>
    <x v="3"/>
    <n v="10147.5"/>
    <x v="66"/>
    <n v="36"/>
    <n v="4575"/>
    <n v="4206"/>
    <n v="281.875"/>
    <x v="3"/>
  </r>
  <r>
    <x v="16"/>
    <x v="3"/>
    <n v="12331.5"/>
    <x v="67"/>
    <n v="36"/>
    <n v="4923"/>
    <n v="4560"/>
    <n v="342.54166666666669"/>
    <x v="4"/>
  </r>
  <r>
    <x v="17"/>
    <x v="3"/>
    <n v="11202"/>
    <x v="68"/>
    <n v="36"/>
    <n v="4967"/>
    <n v="4583"/>
    <n v="311.16666666666669"/>
    <x v="1"/>
  </r>
  <r>
    <x v="0"/>
    <x v="2"/>
    <n v="89149.5"/>
    <x v="69"/>
    <n v="37"/>
    <n v="5215"/>
    <n v="4848"/>
    <n v="2409.4459459459458"/>
    <x v="0"/>
  </r>
  <r>
    <x v="18"/>
    <x v="3"/>
    <n v="8185.5"/>
    <x v="70"/>
    <n v="36"/>
    <n v="4751"/>
    <n v="4370"/>
    <n v="227.375"/>
    <x v="4"/>
  </r>
  <r>
    <x v="1"/>
    <x v="2"/>
    <n v="108123"/>
    <x v="71"/>
    <n v="37"/>
    <n v="6645"/>
    <n v="6122"/>
    <n v="2922.2432432432433"/>
    <x v="0"/>
  </r>
  <r>
    <x v="19"/>
    <x v="3"/>
    <n v="9210"/>
    <x v="72"/>
    <n v="36"/>
    <n v="4384"/>
    <n v="4025"/>
    <n v="255.83333333333334"/>
    <x v="3"/>
  </r>
  <r>
    <x v="20"/>
    <x v="3"/>
    <n v="14773.5"/>
    <x v="73"/>
    <n v="36"/>
    <n v="5651"/>
    <n v="5212"/>
    <n v="410.375"/>
    <x v="2"/>
  </r>
  <r>
    <x v="2"/>
    <x v="2"/>
    <n v="78141"/>
    <x v="74"/>
    <n v="37"/>
    <n v="4840"/>
    <n v="4475"/>
    <n v="2111.9189189189187"/>
    <x v="0"/>
  </r>
  <r>
    <x v="21"/>
    <x v="3"/>
    <n v="12280.5"/>
    <x v="75"/>
    <n v="36"/>
    <n v="4641"/>
    <n v="4274"/>
    <n v="341.125"/>
    <x v="0"/>
  </r>
  <r>
    <x v="22"/>
    <x v="3"/>
    <n v="8934"/>
    <x v="76"/>
    <n v="36"/>
    <n v="5143"/>
    <n v="4715"/>
    <n v="248.16666666666666"/>
    <x v="4"/>
  </r>
  <r>
    <x v="23"/>
    <x v="3"/>
    <n v="12918"/>
    <x v="77"/>
    <n v="36"/>
    <n v="5746"/>
    <n v="5277"/>
    <n v="358.83333333333331"/>
    <x v="3"/>
  </r>
  <r>
    <x v="24"/>
    <x v="3"/>
    <n v="12528"/>
    <x v="78"/>
    <n v="36"/>
    <n v="4199"/>
    <n v="3867"/>
    <n v="348"/>
    <x v="3"/>
  </r>
  <r>
    <x v="25"/>
    <x v="3"/>
    <n v="11029.5"/>
    <x v="79"/>
    <n v="36"/>
    <n v="4826"/>
    <n v="4426"/>
    <n v="306.375"/>
    <x v="3"/>
  </r>
  <r>
    <x v="26"/>
    <x v="3"/>
    <n v="9994.5"/>
    <x v="80"/>
    <n v="36"/>
    <n v="4915"/>
    <n v="4562"/>
    <n v="277.625"/>
    <x v="2"/>
  </r>
  <r>
    <x v="0"/>
    <x v="3"/>
    <n v="12724.5"/>
    <x v="81"/>
    <n v="37"/>
    <n v="5215"/>
    <n v="4848"/>
    <n v="343.90540540540542"/>
    <x v="0"/>
  </r>
  <r>
    <x v="1"/>
    <x v="3"/>
    <n v="14728.5"/>
    <x v="82"/>
    <n v="37"/>
    <n v="6645"/>
    <n v="6122"/>
    <n v="398.06756756756755"/>
    <x v="0"/>
  </r>
  <r>
    <x v="2"/>
    <x v="3"/>
    <n v="13038"/>
    <x v="83"/>
    <n v="37"/>
    <n v="4840"/>
    <n v="4475"/>
    <n v="352.37837837837839"/>
    <x v="0"/>
  </r>
  <r>
    <x v="3"/>
    <x v="4"/>
    <n v="35482.5"/>
    <x v="84"/>
    <n v="36"/>
    <n v="5286"/>
    <n v="4867"/>
    <n v="985.625"/>
    <x v="1"/>
  </r>
  <r>
    <x v="4"/>
    <x v="4"/>
    <n v="32434.5"/>
    <x v="85"/>
    <n v="36"/>
    <n v="5094"/>
    <n v="4716"/>
    <n v="900.95833333333337"/>
    <x v="2"/>
  </r>
  <r>
    <x v="5"/>
    <x v="4"/>
    <n v="30486"/>
    <x v="86"/>
    <n v="36"/>
    <n v="4918"/>
    <n v="4554"/>
    <n v="846.83333333333337"/>
    <x v="1"/>
  </r>
  <r>
    <x v="6"/>
    <x v="4"/>
    <n v="32079"/>
    <x v="87"/>
    <n v="36"/>
    <n v="5413"/>
    <n v="4959"/>
    <n v="891.08333333333337"/>
    <x v="3"/>
  </r>
  <r>
    <x v="7"/>
    <x v="4"/>
    <n v="27072"/>
    <x v="88"/>
    <n v="36"/>
    <n v="4508"/>
    <n v="4149"/>
    <n v="752"/>
    <x v="3"/>
  </r>
  <r>
    <x v="8"/>
    <x v="4"/>
    <n v="25917"/>
    <x v="89"/>
    <n v="36"/>
    <n v="4937"/>
    <n v="4561"/>
    <n v="719.91666666666663"/>
    <x v="4"/>
  </r>
  <r>
    <x v="9"/>
    <x v="4"/>
    <n v="19461"/>
    <x v="90"/>
    <n v="36"/>
    <n v="3442"/>
    <n v="3147"/>
    <n v="540.58333333333337"/>
    <x v="4"/>
  </r>
  <r>
    <x v="10"/>
    <x v="4"/>
    <n v="31407"/>
    <x v="91"/>
    <n v="36"/>
    <n v="4770"/>
    <n v="4424"/>
    <n v="872.41666666666663"/>
    <x v="0"/>
  </r>
  <r>
    <x v="11"/>
    <x v="4"/>
    <n v="25792.5"/>
    <x v="92"/>
    <n v="36"/>
    <n v="5457"/>
    <n v="4916"/>
    <n v="716.45833333333337"/>
    <x v="4"/>
  </r>
  <r>
    <x v="12"/>
    <x v="4"/>
    <n v="26032.5"/>
    <x v="93"/>
    <n v="36"/>
    <n v="4418"/>
    <n v="4088"/>
    <n v="723.125"/>
    <x v="1"/>
  </r>
  <r>
    <x v="13"/>
    <x v="4"/>
    <n v="31707"/>
    <x v="94"/>
    <n v="36"/>
    <n v="4816"/>
    <n v="4452"/>
    <n v="880.75"/>
    <x v="2"/>
  </r>
  <r>
    <x v="14"/>
    <x v="4"/>
    <n v="29955"/>
    <x v="95"/>
    <n v="36"/>
    <n v="5914"/>
    <n v="5384"/>
    <n v="832.08333333333337"/>
    <x v="2"/>
  </r>
  <r>
    <x v="15"/>
    <x v="4"/>
    <n v="22848"/>
    <x v="96"/>
    <n v="36"/>
    <n v="4575"/>
    <n v="4206"/>
    <n v="634.66666666666663"/>
    <x v="3"/>
  </r>
  <r>
    <x v="16"/>
    <x v="4"/>
    <n v="23314.5"/>
    <x v="97"/>
    <n v="36"/>
    <n v="4923"/>
    <n v="4560"/>
    <n v="647.625"/>
    <x v="4"/>
  </r>
  <r>
    <x v="17"/>
    <x v="4"/>
    <n v="26464.5"/>
    <x v="98"/>
    <n v="36"/>
    <n v="4967"/>
    <n v="4583"/>
    <n v="735.125"/>
    <x v="1"/>
  </r>
  <r>
    <x v="18"/>
    <x v="4"/>
    <n v="23539.5"/>
    <x v="99"/>
    <n v="36"/>
    <n v="4751"/>
    <n v="4370"/>
    <n v="653.875"/>
    <x v="4"/>
  </r>
  <r>
    <x v="19"/>
    <x v="4"/>
    <n v="24678"/>
    <x v="100"/>
    <n v="36"/>
    <n v="4384"/>
    <n v="4025"/>
    <n v="685.5"/>
    <x v="3"/>
  </r>
  <r>
    <x v="20"/>
    <x v="4"/>
    <n v="38176.5"/>
    <x v="101"/>
    <n v="36"/>
    <n v="5651"/>
    <n v="5212"/>
    <n v="1060.4583333333333"/>
    <x v="2"/>
  </r>
  <r>
    <x v="21"/>
    <x v="4"/>
    <n v="30603"/>
    <x v="102"/>
    <n v="36"/>
    <n v="4641"/>
    <n v="4274"/>
    <n v="850.08333333333337"/>
    <x v="0"/>
  </r>
  <r>
    <x v="22"/>
    <x v="4"/>
    <n v="24211.5"/>
    <x v="103"/>
    <n v="36"/>
    <n v="5143"/>
    <n v="4715"/>
    <n v="672.54166666666663"/>
    <x v="4"/>
  </r>
  <r>
    <x v="23"/>
    <x v="4"/>
    <n v="31399.5"/>
    <x v="104"/>
    <n v="36"/>
    <n v="5746"/>
    <n v="5277"/>
    <n v="872.20833333333337"/>
    <x v="3"/>
  </r>
  <r>
    <x v="24"/>
    <x v="4"/>
    <n v="25294.5"/>
    <x v="105"/>
    <n v="36"/>
    <n v="4199"/>
    <n v="3867"/>
    <n v="702.625"/>
    <x v="3"/>
  </r>
  <r>
    <x v="25"/>
    <x v="4"/>
    <n v="25468.5"/>
    <x v="106"/>
    <n v="36"/>
    <n v="4826"/>
    <n v="4426"/>
    <n v="707.45833333333337"/>
    <x v="3"/>
  </r>
  <r>
    <x v="26"/>
    <x v="4"/>
    <n v="31854"/>
    <x v="107"/>
    <n v="36"/>
    <n v="4915"/>
    <n v="4562"/>
    <n v="884.83333333333337"/>
    <x v="2"/>
  </r>
  <r>
    <x v="0"/>
    <x v="4"/>
    <n v="32359.5"/>
    <x v="108"/>
    <n v="37"/>
    <n v="5215"/>
    <n v="4848"/>
    <n v="874.58108108108104"/>
    <x v="0"/>
  </r>
  <r>
    <x v="1"/>
    <x v="4"/>
    <n v="39867"/>
    <x v="109"/>
    <n v="37"/>
    <n v="6645"/>
    <n v="6122"/>
    <n v="1077.4864864864865"/>
    <x v="0"/>
  </r>
  <r>
    <x v="2"/>
    <x v="4"/>
    <n v="31974"/>
    <x v="110"/>
    <n v="37"/>
    <n v="4840"/>
    <n v="4475"/>
    <n v="864.16216216216219"/>
    <x v="0"/>
  </r>
  <r>
    <x v="3"/>
    <x v="5"/>
    <n v="321412.5"/>
    <x v="111"/>
    <n v="36"/>
    <n v="5286"/>
    <n v="4867"/>
    <n v="8928.125"/>
    <x v="1"/>
  </r>
  <r>
    <x v="4"/>
    <x v="5"/>
    <n v="276568.5"/>
    <x v="112"/>
    <n v="36"/>
    <n v="5094"/>
    <n v="4716"/>
    <n v="7682.458333333333"/>
    <x v="2"/>
  </r>
  <r>
    <x v="5"/>
    <x v="5"/>
    <n v="269029.5"/>
    <x v="113"/>
    <n v="36"/>
    <n v="4918"/>
    <n v="4554"/>
    <n v="7473.041666666667"/>
    <x v="1"/>
  </r>
  <r>
    <x v="6"/>
    <x v="5"/>
    <n v="285972"/>
    <x v="114"/>
    <n v="36"/>
    <n v="5413"/>
    <n v="4959"/>
    <n v="7943.666666666667"/>
    <x v="3"/>
  </r>
  <r>
    <x v="7"/>
    <x v="5"/>
    <n v="283942.5"/>
    <x v="115"/>
    <n v="36"/>
    <n v="4508"/>
    <n v="4149"/>
    <n v="7887.291666666667"/>
    <x v="3"/>
  </r>
  <r>
    <x v="8"/>
    <x v="5"/>
    <n v="298059"/>
    <x v="116"/>
    <n v="36"/>
    <n v="4937"/>
    <n v="4561"/>
    <n v="8279.4166666666661"/>
    <x v="4"/>
  </r>
  <r>
    <x v="9"/>
    <x v="5"/>
    <n v="232903.5"/>
    <x v="117"/>
    <n v="36"/>
    <n v="3442"/>
    <n v="3147"/>
    <n v="6469.541666666667"/>
    <x v="4"/>
  </r>
  <r>
    <x v="10"/>
    <x v="5"/>
    <n v="276966"/>
    <x v="118"/>
    <n v="36"/>
    <n v="4770"/>
    <n v="4424"/>
    <n v="7693.5"/>
    <x v="0"/>
  </r>
  <r>
    <x v="11"/>
    <x v="5"/>
    <n v="296149.5"/>
    <x v="119"/>
    <n v="36"/>
    <n v="5457"/>
    <n v="4916"/>
    <n v="8226.375"/>
    <x v="4"/>
  </r>
  <r>
    <x v="12"/>
    <x v="5"/>
    <n v="281796"/>
    <x v="120"/>
    <n v="36"/>
    <n v="4418"/>
    <n v="4088"/>
    <n v="7827.666666666667"/>
    <x v="1"/>
  </r>
  <r>
    <x v="13"/>
    <x v="5"/>
    <n v="288936"/>
    <x v="121"/>
    <n v="36"/>
    <n v="4816"/>
    <n v="4452"/>
    <n v="8026"/>
    <x v="2"/>
  </r>
  <r>
    <x v="14"/>
    <x v="5"/>
    <n v="300151.5"/>
    <x v="122"/>
    <n v="36"/>
    <n v="5914"/>
    <n v="5384"/>
    <n v="8337.5416666666661"/>
    <x v="2"/>
  </r>
  <r>
    <x v="15"/>
    <x v="5"/>
    <n v="262734"/>
    <x v="123"/>
    <n v="36"/>
    <n v="4575"/>
    <n v="4206"/>
    <n v="7298.166666666667"/>
    <x v="3"/>
  </r>
  <r>
    <x v="16"/>
    <x v="5"/>
    <n v="286002"/>
    <x v="124"/>
    <n v="36"/>
    <n v="4923"/>
    <n v="4560"/>
    <n v="7944.5"/>
    <x v="4"/>
  </r>
  <r>
    <x v="17"/>
    <x v="5"/>
    <n v="258459"/>
    <x v="125"/>
    <n v="36"/>
    <n v="4967"/>
    <n v="4583"/>
    <n v="7179.416666666667"/>
    <x v="1"/>
  </r>
  <r>
    <x v="18"/>
    <x v="5"/>
    <n v="274083"/>
    <x v="126"/>
    <n v="36"/>
    <n v="4751"/>
    <n v="4370"/>
    <n v="7613.416666666667"/>
    <x v="4"/>
  </r>
  <r>
    <x v="19"/>
    <x v="5"/>
    <n v="277512"/>
    <x v="127"/>
    <n v="36"/>
    <n v="4384"/>
    <n v="4025"/>
    <n v="7708.666666666667"/>
    <x v="3"/>
  </r>
  <r>
    <x v="20"/>
    <x v="5"/>
    <n v="356982"/>
    <x v="128"/>
    <n v="36"/>
    <n v="5651"/>
    <n v="5212"/>
    <n v="9916.1666666666661"/>
    <x v="2"/>
  </r>
  <r>
    <x v="21"/>
    <x v="5"/>
    <n v="266983.5"/>
    <x v="129"/>
    <n v="36"/>
    <n v="4641"/>
    <n v="4274"/>
    <n v="7416.208333333333"/>
    <x v="0"/>
  </r>
  <r>
    <x v="22"/>
    <x v="5"/>
    <n v="311131.5"/>
    <x v="130"/>
    <n v="36"/>
    <n v="5143"/>
    <n v="4715"/>
    <n v="8642.5416666666661"/>
    <x v="4"/>
  </r>
  <r>
    <x v="23"/>
    <x v="5"/>
    <n v="287206.5"/>
    <x v="131"/>
    <n v="36"/>
    <n v="5746"/>
    <n v="5277"/>
    <n v="7977.958333333333"/>
    <x v="3"/>
  </r>
  <r>
    <x v="24"/>
    <x v="5"/>
    <n v="370092"/>
    <x v="132"/>
    <n v="36"/>
    <n v="4199"/>
    <n v="3867"/>
    <n v="10280.333333333334"/>
    <x v="3"/>
  </r>
  <r>
    <x v="25"/>
    <x v="5"/>
    <n v="247813.5"/>
    <x v="133"/>
    <n v="36"/>
    <n v="4826"/>
    <n v="4426"/>
    <n v="6883.708333333333"/>
    <x v="3"/>
  </r>
  <r>
    <x v="26"/>
    <x v="5"/>
    <n v="287740.5"/>
    <x v="134"/>
    <n v="36"/>
    <n v="4915"/>
    <n v="4562"/>
    <n v="7992.791666666667"/>
    <x v="2"/>
  </r>
  <r>
    <x v="3"/>
    <x v="6"/>
    <n v="408810"/>
    <x v="135"/>
    <n v="36"/>
    <n v="5286"/>
    <n v="4867"/>
    <n v="11355.833333333334"/>
    <x v="1"/>
  </r>
  <r>
    <x v="4"/>
    <x v="6"/>
    <n v="362536.5"/>
    <x v="136"/>
    <n v="36"/>
    <n v="5094"/>
    <n v="4716"/>
    <n v="10070.458333333334"/>
    <x v="2"/>
  </r>
  <r>
    <x v="5"/>
    <x v="6"/>
    <n v="357072"/>
    <x v="137"/>
    <n v="36"/>
    <n v="4918"/>
    <n v="4554"/>
    <n v="9918.6666666666661"/>
    <x v="1"/>
  </r>
  <r>
    <x v="6"/>
    <x v="6"/>
    <n v="359214"/>
    <x v="138"/>
    <n v="36"/>
    <n v="5413"/>
    <n v="4959"/>
    <n v="9978.1666666666661"/>
    <x v="3"/>
  </r>
  <r>
    <x v="7"/>
    <x v="6"/>
    <n v="360255"/>
    <x v="139"/>
    <n v="36"/>
    <n v="4508"/>
    <n v="4149"/>
    <n v="10007.083333333334"/>
    <x v="3"/>
  </r>
  <r>
    <x v="8"/>
    <x v="6"/>
    <n v="387220.5"/>
    <x v="140"/>
    <n v="36"/>
    <n v="4937"/>
    <n v="4561"/>
    <n v="10756.125"/>
    <x v="4"/>
  </r>
  <r>
    <x v="9"/>
    <x v="6"/>
    <n v="296580"/>
    <x v="141"/>
    <n v="36"/>
    <n v="3442"/>
    <n v="3147"/>
    <n v="8238.3333333333339"/>
    <x v="4"/>
  </r>
  <r>
    <x v="10"/>
    <x v="6"/>
    <n v="369861"/>
    <x v="142"/>
    <n v="36"/>
    <n v="4770"/>
    <n v="4424"/>
    <n v="10273.916666666666"/>
    <x v="0"/>
  </r>
  <r>
    <x v="11"/>
    <x v="6"/>
    <n v="372504"/>
    <x v="143"/>
    <n v="36"/>
    <n v="5457"/>
    <n v="4916"/>
    <n v="10347.333333333334"/>
    <x v="4"/>
  </r>
  <r>
    <x v="12"/>
    <x v="6"/>
    <n v="373392"/>
    <x v="144"/>
    <n v="36"/>
    <n v="4418"/>
    <n v="4088"/>
    <n v="10372"/>
    <x v="1"/>
  </r>
  <r>
    <x v="13"/>
    <x v="6"/>
    <n v="378043.5"/>
    <x v="145"/>
    <n v="36"/>
    <n v="4816"/>
    <n v="4452"/>
    <n v="10501.208333333334"/>
    <x v="2"/>
  </r>
  <r>
    <x v="14"/>
    <x v="6"/>
    <n v="388668"/>
    <x v="146"/>
    <n v="36"/>
    <n v="5914"/>
    <n v="5384"/>
    <n v="10796.333333333334"/>
    <x v="2"/>
  </r>
  <r>
    <x v="15"/>
    <x v="6"/>
    <n v="333792"/>
    <x v="147"/>
    <n v="36"/>
    <n v="4575"/>
    <n v="4206"/>
    <n v="9272"/>
    <x v="3"/>
  </r>
  <r>
    <x v="16"/>
    <x v="6"/>
    <n v="376060.5"/>
    <x v="148"/>
    <n v="36"/>
    <n v="4923"/>
    <n v="4560"/>
    <n v="10446.125"/>
    <x v="4"/>
  </r>
  <r>
    <x v="17"/>
    <x v="6"/>
    <n v="350068.5"/>
    <x v="149"/>
    <n v="36"/>
    <n v="4967"/>
    <n v="4583"/>
    <n v="9724.125"/>
    <x v="1"/>
  </r>
  <r>
    <x v="0"/>
    <x v="5"/>
    <n v="294337.5"/>
    <x v="150"/>
    <n v="37"/>
    <n v="5215"/>
    <n v="4848"/>
    <n v="7955.0675675675675"/>
    <x v="0"/>
  </r>
  <r>
    <x v="18"/>
    <x v="6"/>
    <n v="342666"/>
    <x v="151"/>
    <n v="36"/>
    <n v="4751"/>
    <n v="4370"/>
    <n v="9518.5"/>
    <x v="4"/>
  </r>
  <r>
    <x v="1"/>
    <x v="5"/>
    <n v="364882.5"/>
    <x v="152"/>
    <n v="37"/>
    <n v="6645"/>
    <n v="6122"/>
    <n v="9861.6891891891901"/>
    <x v="0"/>
  </r>
  <r>
    <x v="19"/>
    <x v="6"/>
    <n v="355278"/>
    <x v="153"/>
    <n v="36"/>
    <n v="4384"/>
    <n v="4025"/>
    <n v="9868.8333333333339"/>
    <x v="3"/>
  </r>
  <r>
    <x v="20"/>
    <x v="6"/>
    <n v="456885"/>
    <x v="154"/>
    <n v="36"/>
    <n v="5651"/>
    <n v="5212"/>
    <n v="12691.25"/>
    <x v="2"/>
  </r>
  <r>
    <x v="2"/>
    <x v="5"/>
    <n v="278491.5"/>
    <x v="155"/>
    <n v="37"/>
    <n v="4840"/>
    <n v="4475"/>
    <n v="7526.7972972972975"/>
    <x v="0"/>
  </r>
  <r>
    <x v="21"/>
    <x v="6"/>
    <n v="349734"/>
    <x v="156"/>
    <n v="36"/>
    <n v="4641"/>
    <n v="4274"/>
    <n v="9714.8333333333339"/>
    <x v="0"/>
  </r>
  <r>
    <x v="22"/>
    <x v="6"/>
    <n v="401580"/>
    <x v="157"/>
    <n v="36"/>
    <n v="5143"/>
    <n v="4715"/>
    <n v="11155"/>
    <x v="4"/>
  </r>
  <r>
    <x v="23"/>
    <x v="6"/>
    <n v="368649"/>
    <x v="158"/>
    <n v="36"/>
    <n v="5746"/>
    <n v="5277"/>
    <n v="10240.25"/>
    <x v="3"/>
  </r>
  <r>
    <x v="24"/>
    <x v="6"/>
    <n v="463530"/>
    <x v="159"/>
    <n v="36"/>
    <n v="4199"/>
    <n v="3867"/>
    <n v="12875.833333333334"/>
    <x v="3"/>
  </r>
  <r>
    <x v="25"/>
    <x v="6"/>
    <n v="319110"/>
    <x v="160"/>
    <n v="36"/>
    <n v="4826"/>
    <n v="4426"/>
    <n v="8864.1666666666661"/>
    <x v="3"/>
  </r>
  <r>
    <x v="26"/>
    <x v="6"/>
    <n v="375744"/>
    <x v="161"/>
    <n v="36"/>
    <n v="4915"/>
    <n v="4562"/>
    <n v="10437.333333333334"/>
    <x v="2"/>
  </r>
  <r>
    <x v="3"/>
    <x v="7"/>
    <n v="81331.5"/>
    <x v="162"/>
    <n v="36"/>
    <n v="5286"/>
    <n v="4867"/>
    <n v="2259.2083333333335"/>
    <x v="1"/>
  </r>
  <r>
    <x v="4"/>
    <x v="7"/>
    <n v="75796.5"/>
    <x v="163"/>
    <n v="36"/>
    <n v="5094"/>
    <n v="4716"/>
    <n v="2105.4583333333335"/>
    <x v="2"/>
  </r>
  <r>
    <x v="5"/>
    <x v="7"/>
    <n v="72861"/>
    <x v="164"/>
    <n v="36"/>
    <n v="4918"/>
    <n v="4554"/>
    <n v="2023.9166666666667"/>
    <x v="1"/>
  </r>
  <r>
    <x v="6"/>
    <x v="7"/>
    <n v="83373"/>
    <x v="165"/>
    <n v="36"/>
    <n v="5413"/>
    <n v="4959"/>
    <n v="2315.9166666666665"/>
    <x v="3"/>
  </r>
  <r>
    <x v="7"/>
    <x v="7"/>
    <n v="64108.5"/>
    <x v="166"/>
    <n v="36"/>
    <n v="4508"/>
    <n v="4149"/>
    <n v="1780.7916666666667"/>
    <x v="3"/>
  </r>
  <r>
    <x v="8"/>
    <x v="7"/>
    <n v="74707.5"/>
    <x v="167"/>
    <n v="36"/>
    <n v="4937"/>
    <n v="4561"/>
    <n v="2075.2083333333335"/>
    <x v="4"/>
  </r>
  <r>
    <x v="9"/>
    <x v="7"/>
    <n v="46216.5"/>
    <x v="168"/>
    <n v="36"/>
    <n v="3442"/>
    <n v="3147"/>
    <n v="1283.7916666666667"/>
    <x v="4"/>
  </r>
  <r>
    <x v="10"/>
    <x v="7"/>
    <n v="67726.5"/>
    <x v="169"/>
    <n v="36"/>
    <n v="4770"/>
    <n v="4424"/>
    <n v="1881.2916666666667"/>
    <x v="0"/>
  </r>
  <r>
    <x v="11"/>
    <x v="7"/>
    <n v="82228.5"/>
    <x v="170"/>
    <n v="36"/>
    <n v="5457"/>
    <n v="4916"/>
    <n v="2284.125"/>
    <x v="4"/>
  </r>
  <r>
    <x v="12"/>
    <x v="7"/>
    <n v="64390.5"/>
    <x v="171"/>
    <n v="36"/>
    <n v="4418"/>
    <n v="4088"/>
    <n v="1788.625"/>
    <x v="1"/>
  </r>
  <r>
    <x v="13"/>
    <x v="7"/>
    <n v="73126.5"/>
    <x v="172"/>
    <n v="36"/>
    <n v="4816"/>
    <n v="4452"/>
    <n v="2031.2916666666667"/>
    <x v="2"/>
  </r>
  <r>
    <x v="14"/>
    <x v="7"/>
    <n v="99631.5"/>
    <x v="173"/>
    <n v="36"/>
    <n v="5914"/>
    <n v="5384"/>
    <n v="2767.5416666666665"/>
    <x v="2"/>
  </r>
  <r>
    <x v="15"/>
    <x v="7"/>
    <n v="66396"/>
    <x v="174"/>
    <n v="36"/>
    <n v="4575"/>
    <n v="4206"/>
    <n v="1844.3333333333333"/>
    <x v="3"/>
  </r>
  <r>
    <x v="16"/>
    <x v="7"/>
    <n v="73147.5"/>
    <x v="175"/>
    <n v="36"/>
    <n v="4923"/>
    <n v="4560"/>
    <n v="2031.875"/>
    <x v="4"/>
  </r>
  <r>
    <x v="17"/>
    <x v="7"/>
    <n v="73062"/>
    <x v="176"/>
    <n v="36"/>
    <n v="4967"/>
    <n v="4583"/>
    <n v="2029.5"/>
    <x v="1"/>
  </r>
  <r>
    <x v="0"/>
    <x v="6"/>
    <n v="379663.5"/>
    <x v="177"/>
    <n v="37"/>
    <n v="5215"/>
    <n v="4848"/>
    <n v="10261.175675675675"/>
    <x v="0"/>
  </r>
  <r>
    <x v="18"/>
    <x v="7"/>
    <n v="70581"/>
    <x v="178"/>
    <n v="36"/>
    <n v="4751"/>
    <n v="4370"/>
    <n v="1960.5833333333333"/>
    <x v="4"/>
  </r>
  <r>
    <x v="1"/>
    <x v="6"/>
    <n v="453123"/>
    <x v="179"/>
    <n v="37"/>
    <n v="6645"/>
    <n v="6122"/>
    <n v="12246.567567567568"/>
    <x v="0"/>
  </r>
  <r>
    <x v="19"/>
    <x v="7"/>
    <n v="63012"/>
    <x v="180"/>
    <n v="36"/>
    <n v="4384"/>
    <n v="4025"/>
    <n v="1750.3333333333333"/>
    <x v="3"/>
  </r>
  <r>
    <x v="20"/>
    <x v="7"/>
    <n v="89556"/>
    <x v="181"/>
    <n v="36"/>
    <n v="5651"/>
    <n v="5212"/>
    <n v="2487.6666666666665"/>
    <x v="2"/>
  </r>
  <r>
    <x v="2"/>
    <x v="6"/>
    <n v="364638"/>
    <x v="182"/>
    <n v="37"/>
    <n v="4840"/>
    <n v="4475"/>
    <n v="9855.0810810810817"/>
    <x v="0"/>
  </r>
  <r>
    <x v="21"/>
    <x v="7"/>
    <n v="66316.5"/>
    <x v="183"/>
    <n v="36"/>
    <n v="4641"/>
    <n v="4274"/>
    <n v="1842.125"/>
    <x v="0"/>
  </r>
  <r>
    <x v="22"/>
    <x v="7"/>
    <n v="78235.5"/>
    <x v="184"/>
    <n v="36"/>
    <n v="5143"/>
    <n v="4715"/>
    <n v="2173.2083333333335"/>
    <x v="4"/>
  </r>
  <r>
    <x v="23"/>
    <x v="7"/>
    <n v="88311"/>
    <x v="185"/>
    <n v="36"/>
    <n v="5746"/>
    <n v="5277"/>
    <n v="2453.0833333333335"/>
    <x v="3"/>
  </r>
  <r>
    <x v="24"/>
    <x v="7"/>
    <n v="61804.5"/>
    <x v="186"/>
    <n v="36"/>
    <n v="4199"/>
    <n v="3867"/>
    <n v="1716.7916666666667"/>
    <x v="3"/>
  </r>
  <r>
    <x v="25"/>
    <x v="7"/>
    <n v="71067"/>
    <x v="187"/>
    <n v="36"/>
    <n v="4826"/>
    <n v="4426"/>
    <n v="1974.0833333333333"/>
    <x v="3"/>
  </r>
  <r>
    <x v="26"/>
    <x v="7"/>
    <n v="74649"/>
    <x v="188"/>
    <n v="36"/>
    <n v="4915"/>
    <n v="4562"/>
    <n v="2073.5833333333335"/>
    <x v="2"/>
  </r>
  <r>
    <x v="3"/>
    <x v="8"/>
    <n v="44560.5"/>
    <x v="189"/>
    <n v="36"/>
    <n v="5286"/>
    <n v="4867"/>
    <n v="1237.7916666666667"/>
    <x v="1"/>
  </r>
  <r>
    <x v="4"/>
    <x v="8"/>
    <n v="38250"/>
    <x v="190"/>
    <n v="36"/>
    <n v="5094"/>
    <n v="4716"/>
    <n v="1062.5"/>
    <x v="2"/>
  </r>
  <r>
    <x v="5"/>
    <x v="8"/>
    <n v="34830"/>
    <x v="191"/>
    <n v="36"/>
    <n v="4918"/>
    <n v="4554"/>
    <n v="967.5"/>
    <x v="1"/>
  </r>
  <r>
    <x v="6"/>
    <x v="8"/>
    <n v="32239.5"/>
    <x v="192"/>
    <n v="36"/>
    <n v="5413"/>
    <n v="4959"/>
    <n v="895.54166666666663"/>
    <x v="3"/>
  </r>
  <r>
    <x v="7"/>
    <x v="8"/>
    <n v="30780"/>
    <x v="193"/>
    <n v="36"/>
    <n v="4508"/>
    <n v="4149"/>
    <n v="855"/>
    <x v="3"/>
  </r>
  <r>
    <x v="8"/>
    <x v="8"/>
    <n v="29142"/>
    <x v="194"/>
    <n v="36"/>
    <n v="4937"/>
    <n v="4561"/>
    <n v="809.5"/>
    <x v="4"/>
  </r>
  <r>
    <x v="9"/>
    <x v="8"/>
    <n v="26428.5"/>
    <x v="195"/>
    <n v="36"/>
    <n v="3442"/>
    <n v="3147"/>
    <n v="734.125"/>
    <x v="4"/>
  </r>
  <r>
    <x v="10"/>
    <x v="8"/>
    <n v="40744.5"/>
    <x v="196"/>
    <n v="36"/>
    <n v="4770"/>
    <n v="4424"/>
    <n v="1131.7916666666667"/>
    <x v="0"/>
  </r>
  <r>
    <x v="11"/>
    <x v="8"/>
    <n v="46620"/>
    <x v="197"/>
    <n v="36"/>
    <n v="5457"/>
    <n v="4916"/>
    <n v="1295"/>
    <x v="4"/>
  </r>
  <r>
    <x v="12"/>
    <x v="8"/>
    <n v="32419.5"/>
    <x v="198"/>
    <n v="36"/>
    <n v="4418"/>
    <n v="4088"/>
    <n v="900.54166666666663"/>
    <x v="1"/>
  </r>
  <r>
    <x v="13"/>
    <x v="8"/>
    <n v="40819.5"/>
    <x v="199"/>
    <n v="36"/>
    <n v="4816"/>
    <n v="4452"/>
    <n v="1133.875"/>
    <x v="2"/>
  </r>
  <r>
    <x v="14"/>
    <x v="8"/>
    <n v="41391"/>
    <x v="200"/>
    <n v="36"/>
    <n v="5914"/>
    <n v="5384"/>
    <n v="1149.75"/>
    <x v="2"/>
  </r>
  <r>
    <x v="15"/>
    <x v="8"/>
    <n v="29482.5"/>
    <x v="201"/>
    <n v="36"/>
    <n v="4575"/>
    <n v="4206"/>
    <n v="818.95833333333337"/>
    <x v="3"/>
  </r>
  <r>
    <x v="16"/>
    <x v="8"/>
    <n v="32181"/>
    <x v="202"/>
    <n v="36"/>
    <n v="4923"/>
    <n v="4560"/>
    <n v="893.91666666666663"/>
    <x v="4"/>
  </r>
  <r>
    <x v="17"/>
    <x v="8"/>
    <n v="35535"/>
    <x v="203"/>
    <n v="36"/>
    <n v="4967"/>
    <n v="4583"/>
    <n v="987.08333333333337"/>
    <x v="1"/>
  </r>
  <r>
    <x v="0"/>
    <x v="7"/>
    <n v="76234.5"/>
    <x v="204"/>
    <n v="37"/>
    <n v="5215"/>
    <n v="4848"/>
    <n v="2060.3918918918921"/>
    <x v="0"/>
  </r>
  <r>
    <x v="18"/>
    <x v="8"/>
    <n v="29935.5"/>
    <x v="205"/>
    <n v="36"/>
    <n v="4751"/>
    <n v="4370"/>
    <n v="831.54166666666663"/>
    <x v="4"/>
  </r>
  <r>
    <x v="1"/>
    <x v="7"/>
    <n v="106926"/>
    <x v="206"/>
    <n v="37"/>
    <n v="6645"/>
    <n v="6122"/>
    <n v="2889.8918918918921"/>
    <x v="0"/>
  </r>
  <r>
    <x v="19"/>
    <x v="8"/>
    <n v="30342"/>
    <x v="207"/>
    <n v="36"/>
    <n v="4384"/>
    <n v="4025"/>
    <n v="842.83333333333337"/>
    <x v="3"/>
  </r>
  <r>
    <x v="20"/>
    <x v="8"/>
    <n v="42999"/>
    <x v="208"/>
    <n v="36"/>
    <n v="5651"/>
    <n v="5212"/>
    <n v="1194.4166666666667"/>
    <x v="2"/>
  </r>
  <r>
    <x v="2"/>
    <x v="7"/>
    <n v="69945"/>
    <x v="209"/>
    <n v="37"/>
    <n v="4840"/>
    <n v="4475"/>
    <n v="1890.4054054054054"/>
    <x v="0"/>
  </r>
  <r>
    <x v="21"/>
    <x v="8"/>
    <n v="38740.5"/>
    <x v="210"/>
    <n v="36"/>
    <n v="4641"/>
    <n v="4274"/>
    <n v="1076.125"/>
    <x v="0"/>
  </r>
  <r>
    <x v="22"/>
    <x v="8"/>
    <n v="31231.5"/>
    <x v="211"/>
    <n v="36"/>
    <n v="5143"/>
    <n v="4715"/>
    <n v="867.54166666666663"/>
    <x v="4"/>
  </r>
  <r>
    <x v="23"/>
    <x v="8"/>
    <n v="37489.5"/>
    <x v="212"/>
    <n v="36"/>
    <n v="5746"/>
    <n v="5277"/>
    <n v="1041.375"/>
    <x v="3"/>
  </r>
  <r>
    <x v="24"/>
    <x v="8"/>
    <n v="34399.5"/>
    <x v="213"/>
    <n v="36"/>
    <n v="4199"/>
    <n v="3867"/>
    <n v="955.54166666666663"/>
    <x v="3"/>
  </r>
  <r>
    <x v="25"/>
    <x v="8"/>
    <n v="32851.5"/>
    <x v="214"/>
    <n v="36"/>
    <n v="4826"/>
    <n v="4426"/>
    <n v="912.54166666666663"/>
    <x v="3"/>
  </r>
  <r>
    <x v="26"/>
    <x v="8"/>
    <n v="38194.5"/>
    <x v="215"/>
    <n v="36"/>
    <n v="4915"/>
    <n v="4562"/>
    <n v="1060.9583333333333"/>
    <x v="2"/>
  </r>
  <r>
    <x v="0"/>
    <x v="8"/>
    <n v="42423"/>
    <x v="216"/>
    <n v="37"/>
    <n v="5215"/>
    <n v="4848"/>
    <n v="1146.5675675675675"/>
    <x v="0"/>
  </r>
  <r>
    <x v="1"/>
    <x v="8"/>
    <n v="48286.5"/>
    <x v="217"/>
    <n v="37"/>
    <n v="6645"/>
    <n v="6122"/>
    <n v="1305.0405405405406"/>
    <x v="0"/>
  </r>
  <r>
    <x v="2"/>
    <x v="8"/>
    <n v="41442"/>
    <x v="218"/>
    <n v="37"/>
    <n v="4840"/>
    <n v="4475"/>
    <n v="1120.0540540540539"/>
    <x v="0"/>
  </r>
  <r>
    <x v="3"/>
    <x v="9"/>
    <n v="18600"/>
    <x v="219"/>
    <n v="36"/>
    <n v="5286"/>
    <n v="4867"/>
    <n v="516.66666666666663"/>
    <x v="1"/>
  </r>
  <r>
    <x v="4"/>
    <x v="9"/>
    <n v="16638"/>
    <x v="220"/>
    <n v="36"/>
    <n v="5094"/>
    <n v="4716"/>
    <n v="462.16666666666669"/>
    <x v="2"/>
  </r>
  <r>
    <x v="5"/>
    <x v="9"/>
    <n v="15609"/>
    <x v="221"/>
    <n v="36"/>
    <n v="4918"/>
    <n v="4554"/>
    <n v="433.58333333333331"/>
    <x v="1"/>
  </r>
  <r>
    <x v="6"/>
    <x v="9"/>
    <n v="13948.5"/>
    <x v="222"/>
    <n v="36"/>
    <n v="5413"/>
    <n v="4959"/>
    <n v="387.45833333333331"/>
    <x v="3"/>
  </r>
  <r>
    <x v="7"/>
    <x v="9"/>
    <n v="12301.5"/>
    <x v="223"/>
    <n v="36"/>
    <n v="4508"/>
    <n v="4149"/>
    <n v="341.70833333333331"/>
    <x v="3"/>
  </r>
  <r>
    <x v="8"/>
    <x v="9"/>
    <n v="13014"/>
    <x v="224"/>
    <n v="36"/>
    <n v="4937"/>
    <n v="4561"/>
    <n v="361.5"/>
    <x v="4"/>
  </r>
  <r>
    <x v="9"/>
    <x v="9"/>
    <n v="12313.5"/>
    <x v="225"/>
    <n v="36"/>
    <n v="3442"/>
    <n v="3147"/>
    <n v="342.04166666666669"/>
    <x v="4"/>
  </r>
  <r>
    <x v="10"/>
    <x v="9"/>
    <n v="17391"/>
    <x v="226"/>
    <n v="36"/>
    <n v="4770"/>
    <n v="4424"/>
    <n v="483.08333333333331"/>
    <x v="0"/>
  </r>
  <r>
    <x v="11"/>
    <x v="9"/>
    <n v="17113.5"/>
    <x v="227"/>
    <n v="36"/>
    <n v="5457"/>
    <n v="4916"/>
    <n v="475.375"/>
    <x v="4"/>
  </r>
  <r>
    <x v="12"/>
    <x v="9"/>
    <n v="12802.5"/>
    <x v="228"/>
    <n v="36"/>
    <n v="4418"/>
    <n v="4088"/>
    <n v="355.625"/>
    <x v="1"/>
  </r>
  <r>
    <x v="13"/>
    <x v="9"/>
    <n v="16554"/>
    <x v="229"/>
    <n v="36"/>
    <n v="4816"/>
    <n v="4452"/>
    <n v="459.83333333333331"/>
    <x v="2"/>
  </r>
  <r>
    <x v="14"/>
    <x v="9"/>
    <n v="17329.5"/>
    <x v="230"/>
    <n v="36"/>
    <n v="5914"/>
    <n v="5384"/>
    <n v="481.375"/>
    <x v="2"/>
  </r>
  <r>
    <x v="15"/>
    <x v="9"/>
    <n v="15987"/>
    <x v="231"/>
    <n v="36"/>
    <n v="4575"/>
    <n v="4206"/>
    <n v="444.08333333333331"/>
    <x v="3"/>
  </r>
  <r>
    <x v="16"/>
    <x v="9"/>
    <n v="13303.5"/>
    <x v="232"/>
    <n v="36"/>
    <n v="4923"/>
    <n v="4560"/>
    <n v="369.54166666666669"/>
    <x v="4"/>
  </r>
  <r>
    <x v="17"/>
    <x v="9"/>
    <n v="14305.5"/>
    <x v="233"/>
    <n v="36"/>
    <n v="4967"/>
    <n v="4583"/>
    <n v="397.375"/>
    <x v="1"/>
  </r>
  <r>
    <x v="18"/>
    <x v="9"/>
    <n v="12924"/>
    <x v="234"/>
    <n v="36"/>
    <n v="4751"/>
    <n v="4370"/>
    <n v="359"/>
    <x v="4"/>
  </r>
  <r>
    <x v="19"/>
    <x v="9"/>
    <n v="14061"/>
    <x v="235"/>
    <n v="36"/>
    <n v="4384"/>
    <n v="4025"/>
    <n v="390.58333333333331"/>
    <x v="3"/>
  </r>
  <r>
    <x v="20"/>
    <x v="9"/>
    <n v="21958.5"/>
    <x v="236"/>
    <n v="36"/>
    <n v="5651"/>
    <n v="5212"/>
    <n v="609.95833333333337"/>
    <x v="2"/>
  </r>
  <r>
    <x v="21"/>
    <x v="9"/>
    <n v="17211"/>
    <x v="237"/>
    <n v="36"/>
    <n v="4641"/>
    <n v="4274"/>
    <n v="478.08333333333331"/>
    <x v="0"/>
  </r>
  <r>
    <x v="22"/>
    <x v="9"/>
    <n v="12753"/>
    <x v="238"/>
    <n v="36"/>
    <n v="5143"/>
    <n v="4715"/>
    <n v="354.25"/>
    <x v="4"/>
  </r>
  <r>
    <x v="23"/>
    <x v="9"/>
    <n v="16435.5"/>
    <x v="239"/>
    <n v="36"/>
    <n v="5746"/>
    <n v="5277"/>
    <n v="456.54166666666669"/>
    <x v="3"/>
  </r>
  <r>
    <x v="24"/>
    <x v="9"/>
    <n v="14494.5"/>
    <x v="240"/>
    <n v="36"/>
    <n v="4199"/>
    <n v="3867"/>
    <n v="402.625"/>
    <x v="3"/>
  </r>
  <r>
    <x v="25"/>
    <x v="9"/>
    <n v="12705"/>
    <x v="241"/>
    <n v="36"/>
    <n v="4826"/>
    <n v="4426"/>
    <n v="352.91666666666669"/>
    <x v="3"/>
  </r>
  <r>
    <x v="26"/>
    <x v="9"/>
    <n v="18075"/>
    <x v="242"/>
    <n v="36"/>
    <n v="4915"/>
    <n v="4562"/>
    <n v="502.08333333333331"/>
    <x v="2"/>
  </r>
  <r>
    <x v="3"/>
    <x v="10"/>
    <n v="13120.5"/>
    <x v="243"/>
    <n v="36"/>
    <n v="5286"/>
    <n v="4867"/>
    <n v="364.45833333333331"/>
    <x v="1"/>
  </r>
  <r>
    <x v="4"/>
    <x v="10"/>
    <n v="16237.5"/>
    <x v="244"/>
    <n v="36"/>
    <n v="5094"/>
    <n v="4716"/>
    <n v="451.04166666666669"/>
    <x v="2"/>
  </r>
  <r>
    <x v="5"/>
    <x v="10"/>
    <n v="11967"/>
    <x v="245"/>
    <n v="36"/>
    <n v="4918"/>
    <n v="4554"/>
    <n v="332.41666666666669"/>
    <x v="1"/>
  </r>
  <r>
    <x v="6"/>
    <x v="10"/>
    <n v="12037.5"/>
    <x v="246"/>
    <n v="36"/>
    <n v="5413"/>
    <n v="4959"/>
    <n v="334.375"/>
    <x v="3"/>
  </r>
  <r>
    <x v="7"/>
    <x v="10"/>
    <n v="7087.5"/>
    <x v="247"/>
    <n v="36"/>
    <n v="4508"/>
    <n v="4149"/>
    <n v="196.875"/>
    <x v="3"/>
  </r>
  <r>
    <x v="8"/>
    <x v="11"/>
    <n v="25816.5"/>
    <x v="248"/>
    <n v="36"/>
    <n v="4937"/>
    <n v="4561"/>
    <n v="717.125"/>
    <x v="4"/>
  </r>
  <r>
    <x v="9"/>
    <x v="10"/>
    <n v="4624.5"/>
    <x v="249"/>
    <n v="36"/>
    <n v="3442"/>
    <n v="3147"/>
    <n v="128.45833333333334"/>
    <x v="4"/>
  </r>
  <r>
    <x v="10"/>
    <x v="10"/>
    <n v="12259.5"/>
    <x v="250"/>
    <n v="36"/>
    <n v="4770"/>
    <n v="4424"/>
    <n v="340.54166666666669"/>
    <x v="0"/>
  </r>
  <r>
    <x v="11"/>
    <x v="10"/>
    <n v="5446.5"/>
    <x v="251"/>
    <n v="36"/>
    <n v="5457"/>
    <n v="4916"/>
    <n v="151.29166666666666"/>
    <x v="4"/>
  </r>
  <r>
    <x v="12"/>
    <x v="10"/>
    <n v="11296.5"/>
    <x v="252"/>
    <n v="36"/>
    <n v="4418"/>
    <n v="4088"/>
    <n v="313.79166666666669"/>
    <x v="1"/>
  </r>
  <r>
    <x v="13"/>
    <x v="10"/>
    <n v="12135"/>
    <x v="253"/>
    <n v="36"/>
    <n v="4816"/>
    <n v="4452"/>
    <n v="337.08333333333331"/>
    <x v="2"/>
  </r>
  <r>
    <x v="14"/>
    <x v="10"/>
    <n v="12630"/>
    <x v="254"/>
    <n v="36"/>
    <n v="5914"/>
    <n v="5384"/>
    <n v="350.83333333333331"/>
    <x v="2"/>
  </r>
  <r>
    <x v="15"/>
    <x v="10"/>
    <n v="8223"/>
    <x v="255"/>
    <n v="36"/>
    <n v="4575"/>
    <n v="4206"/>
    <n v="228.41666666666666"/>
    <x v="3"/>
  </r>
  <r>
    <x v="16"/>
    <x v="11"/>
    <n v="25149"/>
    <x v="256"/>
    <n v="36"/>
    <n v="4923"/>
    <n v="4560"/>
    <n v="698.58333333333337"/>
    <x v="4"/>
  </r>
  <r>
    <x v="17"/>
    <x v="10"/>
    <n v="10401"/>
    <x v="257"/>
    <n v="36"/>
    <n v="4967"/>
    <n v="4583"/>
    <n v="288.91666666666669"/>
    <x v="1"/>
  </r>
  <r>
    <x v="0"/>
    <x v="9"/>
    <n v="17689.5"/>
    <x v="258"/>
    <n v="37"/>
    <n v="5215"/>
    <n v="4848"/>
    <n v="478.09459459459458"/>
    <x v="0"/>
  </r>
  <r>
    <x v="18"/>
    <x v="10"/>
    <n v="8127"/>
    <x v="259"/>
    <n v="36"/>
    <n v="4751"/>
    <n v="4370"/>
    <n v="225.75"/>
    <x v="4"/>
  </r>
  <r>
    <x v="1"/>
    <x v="9"/>
    <n v="27250.5"/>
    <x v="260"/>
    <n v="37"/>
    <n v="6645"/>
    <n v="6122"/>
    <n v="736.5"/>
    <x v="0"/>
  </r>
  <r>
    <x v="19"/>
    <x v="10"/>
    <n v="8464.5"/>
    <x v="261"/>
    <n v="36"/>
    <n v="4384"/>
    <n v="4025"/>
    <n v="235.125"/>
    <x v="3"/>
  </r>
  <r>
    <x v="20"/>
    <x v="10"/>
    <n v="14167.5"/>
    <x v="262"/>
    <n v="36"/>
    <n v="5651"/>
    <n v="5212"/>
    <n v="393.54166666666669"/>
    <x v="2"/>
  </r>
  <r>
    <x v="2"/>
    <x v="9"/>
    <n v="16500"/>
    <x v="263"/>
    <n v="37"/>
    <n v="4840"/>
    <n v="4475"/>
    <n v="445.94594594594594"/>
    <x v="0"/>
  </r>
  <r>
    <x v="21"/>
    <x v="10"/>
    <n v="13260"/>
    <x v="264"/>
    <n v="36"/>
    <n v="4641"/>
    <n v="4274"/>
    <n v="368.33333333333331"/>
    <x v="0"/>
  </r>
  <r>
    <x v="22"/>
    <x v="10"/>
    <n v="4285.5"/>
    <x v="265"/>
    <n v="36"/>
    <n v="5143"/>
    <n v="4715"/>
    <n v="119.04166666666667"/>
    <x v="4"/>
  </r>
  <r>
    <x v="23"/>
    <x v="10"/>
    <n v="13440"/>
    <x v="266"/>
    <n v="36"/>
    <n v="5746"/>
    <n v="5277"/>
    <n v="373.33333333333331"/>
    <x v="3"/>
  </r>
  <r>
    <x v="24"/>
    <x v="10"/>
    <n v="9058.5"/>
    <x v="267"/>
    <n v="36"/>
    <n v="4199"/>
    <n v="3867"/>
    <n v="251.625"/>
    <x v="3"/>
  </r>
  <r>
    <x v="25"/>
    <x v="10"/>
    <n v="8719.5"/>
    <x v="268"/>
    <n v="36"/>
    <n v="4826"/>
    <n v="4426"/>
    <n v="242.20833333333334"/>
    <x v="3"/>
  </r>
  <r>
    <x v="26"/>
    <x v="10"/>
    <n v="12666"/>
    <x v="269"/>
    <n v="36"/>
    <n v="4915"/>
    <n v="4562"/>
    <n v="351.83333333333331"/>
    <x v="2"/>
  </r>
  <r>
    <x v="3"/>
    <x v="11"/>
    <n v="34563"/>
    <x v="270"/>
    <n v="36"/>
    <n v="5286"/>
    <n v="4867"/>
    <n v="960.08333333333337"/>
    <x v="1"/>
  </r>
  <r>
    <x v="4"/>
    <x v="11"/>
    <n v="28882.5"/>
    <x v="271"/>
    <n v="36"/>
    <n v="5094"/>
    <n v="4716"/>
    <n v="802.29166666666663"/>
    <x v="2"/>
  </r>
  <r>
    <x v="5"/>
    <x v="11"/>
    <n v="28275"/>
    <x v="272"/>
    <n v="36"/>
    <n v="4918"/>
    <n v="4554"/>
    <n v="785.41666666666663"/>
    <x v="1"/>
  </r>
  <r>
    <x v="6"/>
    <x v="11"/>
    <n v="26271"/>
    <x v="273"/>
    <n v="36"/>
    <n v="5413"/>
    <n v="4959"/>
    <n v="729.75"/>
    <x v="3"/>
  </r>
  <r>
    <x v="7"/>
    <x v="11"/>
    <n v="23587.5"/>
    <x v="274"/>
    <n v="36"/>
    <n v="4508"/>
    <n v="4149"/>
    <n v="655.20833333333337"/>
    <x v="3"/>
  </r>
  <r>
    <x v="9"/>
    <x v="11"/>
    <n v="18427.5"/>
    <x v="275"/>
    <n v="36"/>
    <n v="3442"/>
    <n v="3147"/>
    <n v="511.875"/>
    <x v="4"/>
  </r>
  <r>
    <x v="10"/>
    <x v="11"/>
    <n v="27156"/>
    <x v="276"/>
    <n v="36"/>
    <n v="4770"/>
    <n v="4424"/>
    <n v="754.33333333333337"/>
    <x v="0"/>
  </r>
  <r>
    <x v="11"/>
    <x v="11"/>
    <n v="35190"/>
    <x v="277"/>
    <n v="36"/>
    <n v="5457"/>
    <n v="4916"/>
    <n v="977.5"/>
    <x v="4"/>
  </r>
  <r>
    <x v="12"/>
    <x v="11"/>
    <n v="25483.5"/>
    <x v="278"/>
    <n v="36"/>
    <n v="4418"/>
    <n v="4088"/>
    <n v="707.875"/>
    <x v="1"/>
  </r>
  <r>
    <x v="13"/>
    <x v="11"/>
    <n v="25362"/>
    <x v="279"/>
    <n v="36"/>
    <n v="4816"/>
    <n v="4452"/>
    <n v="704.5"/>
    <x v="2"/>
  </r>
  <r>
    <x v="14"/>
    <x v="11"/>
    <n v="28849.5"/>
    <x v="280"/>
    <n v="36"/>
    <n v="5914"/>
    <n v="5384"/>
    <n v="801.375"/>
    <x v="2"/>
  </r>
  <r>
    <x v="15"/>
    <x v="11"/>
    <n v="26367"/>
    <x v="281"/>
    <n v="36"/>
    <n v="4575"/>
    <n v="4206"/>
    <n v="732.41666666666663"/>
    <x v="3"/>
  </r>
  <r>
    <x v="17"/>
    <x v="11"/>
    <n v="25539"/>
    <x v="282"/>
    <n v="36"/>
    <n v="4967"/>
    <n v="4583"/>
    <n v="709.41666666666663"/>
    <x v="1"/>
  </r>
  <r>
    <x v="0"/>
    <x v="10"/>
    <n v="14808"/>
    <x v="283"/>
    <n v="37"/>
    <n v="5215"/>
    <n v="4848"/>
    <n v="400.2162162162162"/>
    <x v="0"/>
  </r>
  <r>
    <x v="18"/>
    <x v="11"/>
    <n v="21343.5"/>
    <x v="284"/>
    <n v="36"/>
    <n v="4751"/>
    <n v="4370"/>
    <n v="592.875"/>
    <x v="4"/>
  </r>
  <r>
    <x v="1"/>
    <x v="10"/>
    <n v="17946"/>
    <x v="285"/>
    <n v="37"/>
    <n v="6645"/>
    <n v="6122"/>
    <n v="485.02702702702703"/>
    <x v="0"/>
  </r>
  <r>
    <x v="19"/>
    <x v="11"/>
    <n v="24337.5"/>
    <x v="286"/>
    <n v="36"/>
    <n v="4384"/>
    <n v="4025"/>
    <n v="676.04166666666663"/>
    <x v="3"/>
  </r>
  <r>
    <x v="20"/>
    <x v="11"/>
    <n v="36997.5"/>
    <x v="287"/>
    <n v="36"/>
    <n v="5651"/>
    <n v="5212"/>
    <n v="1027.7083333333333"/>
    <x v="2"/>
  </r>
  <r>
    <x v="2"/>
    <x v="10"/>
    <n v="13864.5"/>
    <x v="288"/>
    <n v="37"/>
    <n v="4840"/>
    <n v="4475"/>
    <n v="374.7162162162162"/>
    <x v="0"/>
  </r>
  <r>
    <x v="21"/>
    <x v="11"/>
    <n v="28494"/>
    <x v="289"/>
    <n v="36"/>
    <n v="4641"/>
    <n v="4274"/>
    <n v="791.5"/>
    <x v="0"/>
  </r>
  <r>
    <x v="22"/>
    <x v="11"/>
    <n v="27883.5"/>
    <x v="290"/>
    <n v="36"/>
    <n v="5143"/>
    <n v="4715"/>
    <n v="774.54166666666663"/>
    <x v="4"/>
  </r>
  <r>
    <x v="23"/>
    <x v="11"/>
    <n v="31224"/>
    <x v="291"/>
    <n v="36"/>
    <n v="5746"/>
    <n v="5277"/>
    <n v="867.33333333333337"/>
    <x v="3"/>
  </r>
  <r>
    <x v="24"/>
    <x v="11"/>
    <n v="25020"/>
    <x v="292"/>
    <n v="36"/>
    <n v="4199"/>
    <n v="3867"/>
    <n v="695"/>
    <x v="3"/>
  </r>
  <r>
    <x v="25"/>
    <x v="11"/>
    <n v="26184"/>
    <x v="293"/>
    <n v="36"/>
    <n v="4826"/>
    <n v="4426"/>
    <n v="727.33333333333337"/>
    <x v="3"/>
  </r>
  <r>
    <x v="26"/>
    <x v="11"/>
    <n v="29824.5"/>
    <x v="294"/>
    <n v="36"/>
    <n v="4915"/>
    <n v="4562"/>
    <n v="828.45833333333337"/>
    <x v="2"/>
  </r>
  <r>
    <x v="8"/>
    <x v="12"/>
    <n v="208351.5"/>
    <x v="295"/>
    <n v="36"/>
    <n v="4937"/>
    <n v="4561"/>
    <n v="5787.541666666667"/>
    <x v="4"/>
  </r>
  <r>
    <x v="16"/>
    <x v="12"/>
    <n v="204637.5"/>
    <x v="296"/>
    <n v="36"/>
    <n v="4923"/>
    <n v="4560"/>
    <n v="5684.375"/>
    <x v="4"/>
  </r>
  <r>
    <x v="0"/>
    <x v="11"/>
    <n v="31372.5"/>
    <x v="297"/>
    <n v="37"/>
    <n v="5215"/>
    <n v="4848"/>
    <n v="847.90540540540542"/>
    <x v="0"/>
  </r>
  <r>
    <x v="1"/>
    <x v="11"/>
    <n v="34681.5"/>
    <x v="298"/>
    <n v="37"/>
    <n v="6645"/>
    <n v="6122"/>
    <n v="937.33783783783781"/>
    <x v="0"/>
  </r>
  <r>
    <x v="2"/>
    <x v="11"/>
    <n v="28197"/>
    <x v="299"/>
    <n v="37"/>
    <n v="4840"/>
    <n v="4475"/>
    <n v="762.08108108108104"/>
    <x v="0"/>
  </r>
  <r>
    <x v="3"/>
    <x v="12"/>
    <n v="236551.5"/>
    <x v="300"/>
    <n v="36"/>
    <n v="5286"/>
    <n v="4867"/>
    <n v="6570.875"/>
    <x v="1"/>
  </r>
  <r>
    <x v="4"/>
    <x v="12"/>
    <n v="223597.5"/>
    <x v="301"/>
    <n v="36"/>
    <n v="5094"/>
    <n v="4716"/>
    <n v="6211.041666666667"/>
    <x v="2"/>
  </r>
  <r>
    <x v="5"/>
    <x v="12"/>
    <n v="193363.5"/>
    <x v="302"/>
    <n v="36"/>
    <n v="4918"/>
    <n v="4554"/>
    <n v="5371.208333333333"/>
    <x v="1"/>
  </r>
  <r>
    <x v="6"/>
    <x v="12"/>
    <n v="188319"/>
    <x v="303"/>
    <n v="36"/>
    <n v="5413"/>
    <n v="4959"/>
    <n v="5231.083333333333"/>
    <x v="3"/>
  </r>
  <r>
    <x v="7"/>
    <x v="12"/>
    <n v="237544.5"/>
    <x v="304"/>
    <n v="36"/>
    <n v="4508"/>
    <n v="4149"/>
    <n v="6598.458333333333"/>
    <x v="3"/>
  </r>
  <r>
    <x v="8"/>
    <x v="13"/>
    <n v="203209.5"/>
    <x v="305"/>
    <n v="36"/>
    <n v="4937"/>
    <n v="4561"/>
    <n v="5644.708333333333"/>
    <x v="4"/>
  </r>
  <r>
    <x v="9"/>
    <x v="12"/>
    <n v="185979"/>
    <x v="306"/>
    <n v="36"/>
    <n v="3442"/>
    <n v="3147"/>
    <n v="5166.083333333333"/>
    <x v="4"/>
  </r>
  <r>
    <x v="10"/>
    <x v="12"/>
    <n v="244905"/>
    <x v="307"/>
    <n v="36"/>
    <n v="4770"/>
    <n v="4424"/>
    <n v="6802.916666666667"/>
    <x v="0"/>
  </r>
  <r>
    <x v="11"/>
    <x v="12"/>
    <n v="239409"/>
    <x v="308"/>
    <n v="36"/>
    <n v="5457"/>
    <n v="4916"/>
    <n v="6650.25"/>
    <x v="4"/>
  </r>
  <r>
    <x v="12"/>
    <x v="12"/>
    <n v="192886.5"/>
    <x v="309"/>
    <n v="36"/>
    <n v="4418"/>
    <n v="4088"/>
    <n v="5357.958333333333"/>
    <x v="1"/>
  </r>
  <r>
    <x v="13"/>
    <x v="12"/>
    <n v="224233.5"/>
    <x v="310"/>
    <n v="36"/>
    <n v="4816"/>
    <n v="4452"/>
    <n v="6228.708333333333"/>
    <x v="2"/>
  </r>
  <r>
    <x v="14"/>
    <x v="12"/>
    <n v="219622.5"/>
    <x v="311"/>
    <n v="36"/>
    <n v="5914"/>
    <n v="5384"/>
    <n v="6100.625"/>
    <x v="2"/>
  </r>
  <r>
    <x v="15"/>
    <x v="12"/>
    <n v="213582"/>
    <x v="312"/>
    <n v="36"/>
    <n v="4575"/>
    <n v="4206"/>
    <n v="5932.833333333333"/>
    <x v="3"/>
  </r>
  <r>
    <x v="16"/>
    <x v="13"/>
    <n v="195705"/>
    <x v="313"/>
    <n v="36"/>
    <n v="4923"/>
    <n v="4560"/>
    <n v="5436.25"/>
    <x v="4"/>
  </r>
  <r>
    <x v="17"/>
    <x v="12"/>
    <n v="193722"/>
    <x v="314"/>
    <n v="36"/>
    <n v="4967"/>
    <n v="4583"/>
    <n v="5381.166666666667"/>
    <x v="1"/>
  </r>
  <r>
    <x v="18"/>
    <x v="12"/>
    <n v="257215.5"/>
    <x v="315"/>
    <n v="36"/>
    <n v="4751"/>
    <n v="4370"/>
    <n v="7144.875"/>
    <x v="4"/>
  </r>
  <r>
    <x v="19"/>
    <x v="12"/>
    <n v="224779.5"/>
    <x v="316"/>
    <n v="36"/>
    <n v="4384"/>
    <n v="4025"/>
    <n v="6243.875"/>
    <x v="3"/>
  </r>
  <r>
    <x v="20"/>
    <x v="12"/>
    <n v="292018.5"/>
    <x v="317"/>
    <n v="36"/>
    <n v="5651"/>
    <n v="5212"/>
    <n v="8111.625"/>
    <x v="2"/>
  </r>
  <r>
    <x v="21"/>
    <x v="12"/>
    <n v="198751.5"/>
    <x v="318"/>
    <n v="36"/>
    <n v="4641"/>
    <n v="4274"/>
    <n v="5520.875"/>
    <x v="0"/>
  </r>
  <r>
    <x v="22"/>
    <x v="12"/>
    <n v="214386"/>
    <x v="319"/>
    <n v="36"/>
    <n v="5143"/>
    <n v="4715"/>
    <n v="5955.166666666667"/>
    <x v="4"/>
  </r>
  <r>
    <x v="23"/>
    <x v="12"/>
    <n v="243825"/>
    <x v="320"/>
    <n v="36"/>
    <n v="5746"/>
    <n v="5277"/>
    <n v="6772.916666666667"/>
    <x v="3"/>
  </r>
  <r>
    <x v="24"/>
    <x v="12"/>
    <n v="232701"/>
    <x v="321"/>
    <n v="36"/>
    <n v="4199"/>
    <n v="3867"/>
    <n v="6463.916666666667"/>
    <x v="3"/>
  </r>
  <r>
    <x v="25"/>
    <x v="12"/>
    <n v="219411"/>
    <x v="322"/>
    <n v="36"/>
    <n v="4826"/>
    <n v="4426"/>
    <n v="6094.75"/>
    <x v="3"/>
  </r>
  <r>
    <x v="26"/>
    <x v="12"/>
    <n v="200029.5"/>
    <x v="323"/>
    <n v="36"/>
    <n v="4915"/>
    <n v="4562"/>
    <n v="5556.375"/>
    <x v="2"/>
  </r>
  <r>
    <x v="3"/>
    <x v="13"/>
    <n v="225480"/>
    <x v="324"/>
    <n v="36"/>
    <n v="5286"/>
    <n v="4867"/>
    <n v="6263.333333333333"/>
    <x v="1"/>
  </r>
  <r>
    <x v="4"/>
    <x v="13"/>
    <n v="211453.5"/>
    <x v="325"/>
    <n v="36"/>
    <n v="5094"/>
    <n v="4716"/>
    <n v="5873.708333333333"/>
    <x v="2"/>
  </r>
  <r>
    <x v="5"/>
    <x v="13"/>
    <n v="184801.5"/>
    <x v="326"/>
    <n v="36"/>
    <n v="4918"/>
    <n v="4554"/>
    <n v="5133.375"/>
    <x v="1"/>
  </r>
  <r>
    <x v="6"/>
    <x v="13"/>
    <n v="177976.5"/>
    <x v="327"/>
    <n v="36"/>
    <n v="5413"/>
    <n v="4959"/>
    <n v="4943.791666666667"/>
    <x v="3"/>
  </r>
  <r>
    <x v="7"/>
    <x v="13"/>
    <n v="223617"/>
    <x v="328"/>
    <n v="36"/>
    <n v="4508"/>
    <n v="4149"/>
    <n v="6211.583333333333"/>
    <x v="3"/>
  </r>
  <r>
    <x v="9"/>
    <x v="13"/>
    <n v="176397"/>
    <x v="329"/>
    <n v="36"/>
    <n v="3442"/>
    <n v="3147"/>
    <n v="4899.916666666667"/>
    <x v="4"/>
  </r>
  <r>
    <x v="10"/>
    <x v="13"/>
    <n v="232369.5"/>
    <x v="330"/>
    <n v="36"/>
    <n v="4770"/>
    <n v="4424"/>
    <n v="6454.708333333333"/>
    <x v="0"/>
  </r>
  <r>
    <x v="11"/>
    <x v="13"/>
    <n v="226540.5"/>
    <x v="331"/>
    <n v="36"/>
    <n v="5457"/>
    <n v="4916"/>
    <n v="6292.791666666667"/>
    <x v="4"/>
  </r>
  <r>
    <x v="12"/>
    <x v="13"/>
    <n v="189679.5"/>
    <x v="332"/>
    <n v="36"/>
    <n v="4418"/>
    <n v="4088"/>
    <n v="5268.875"/>
    <x v="1"/>
  </r>
  <r>
    <x v="13"/>
    <x v="13"/>
    <n v="213640.5"/>
    <x v="333"/>
    <n v="36"/>
    <n v="4816"/>
    <n v="4452"/>
    <n v="5934.458333333333"/>
    <x v="2"/>
  </r>
  <r>
    <x v="14"/>
    <x v="13"/>
    <n v="214885.5"/>
    <x v="334"/>
    <n v="36"/>
    <n v="5914"/>
    <n v="5384"/>
    <n v="5969.041666666667"/>
    <x v="2"/>
  </r>
  <r>
    <x v="15"/>
    <x v="13"/>
    <n v="203832"/>
    <x v="335"/>
    <n v="36"/>
    <n v="4575"/>
    <n v="4206"/>
    <n v="5662"/>
    <x v="3"/>
  </r>
  <r>
    <x v="17"/>
    <x v="13"/>
    <n v="188662.5"/>
    <x v="336"/>
    <n v="36"/>
    <n v="4967"/>
    <n v="4583"/>
    <n v="5240.625"/>
    <x v="1"/>
  </r>
  <r>
    <x v="0"/>
    <x v="12"/>
    <n v="215277"/>
    <x v="337"/>
    <n v="37"/>
    <n v="5215"/>
    <n v="4848"/>
    <n v="5818.2972972972975"/>
    <x v="0"/>
  </r>
  <r>
    <x v="18"/>
    <x v="13"/>
    <n v="248148"/>
    <x v="338"/>
    <n v="36"/>
    <n v="4751"/>
    <n v="4370"/>
    <n v="6893"/>
    <x v="4"/>
  </r>
  <r>
    <x v="1"/>
    <x v="12"/>
    <n v="246414"/>
    <x v="339"/>
    <n v="37"/>
    <n v="6645"/>
    <n v="6122"/>
    <n v="6659.8378378378375"/>
    <x v="0"/>
  </r>
  <r>
    <x v="19"/>
    <x v="13"/>
    <n v="216498"/>
    <x v="340"/>
    <n v="36"/>
    <n v="4384"/>
    <n v="4025"/>
    <n v="6013.833333333333"/>
    <x v="3"/>
  </r>
  <r>
    <x v="20"/>
    <x v="13"/>
    <n v="275793"/>
    <x v="341"/>
    <n v="36"/>
    <n v="5651"/>
    <n v="5212"/>
    <n v="7660.916666666667"/>
    <x v="2"/>
  </r>
  <r>
    <x v="2"/>
    <x v="12"/>
    <n v="199753.5"/>
    <x v="342"/>
    <n v="37"/>
    <n v="4840"/>
    <n v="4475"/>
    <n v="5398.7432432432433"/>
    <x v="0"/>
  </r>
  <r>
    <x v="21"/>
    <x v="13"/>
    <n v="192948"/>
    <x v="343"/>
    <n v="36"/>
    <n v="4641"/>
    <n v="4274"/>
    <n v="5359.666666666667"/>
    <x v="0"/>
  </r>
  <r>
    <x v="22"/>
    <x v="13"/>
    <n v="206038.5"/>
    <x v="344"/>
    <n v="36"/>
    <n v="5143"/>
    <n v="4715"/>
    <n v="5723.291666666667"/>
    <x v="4"/>
  </r>
  <r>
    <x v="23"/>
    <x v="13"/>
    <n v="231559.5"/>
    <x v="345"/>
    <n v="36"/>
    <n v="5746"/>
    <n v="5277"/>
    <n v="6432.208333333333"/>
    <x v="3"/>
  </r>
  <r>
    <x v="24"/>
    <x v="13"/>
    <n v="225076.5"/>
    <x v="346"/>
    <n v="36"/>
    <n v="4199"/>
    <n v="3867"/>
    <n v="6252.125"/>
    <x v="3"/>
  </r>
  <r>
    <x v="25"/>
    <x v="13"/>
    <n v="209415"/>
    <x v="347"/>
    <n v="36"/>
    <n v="4826"/>
    <n v="4426"/>
    <n v="5817.083333333333"/>
    <x v="3"/>
  </r>
  <r>
    <x v="26"/>
    <x v="13"/>
    <n v="193719"/>
    <x v="348"/>
    <n v="36"/>
    <n v="4915"/>
    <n v="4562"/>
    <n v="5381.083333333333"/>
    <x v="2"/>
  </r>
  <r>
    <x v="8"/>
    <x v="14"/>
    <n v="12250.5"/>
    <x v="349"/>
    <n v="36"/>
    <n v="4937"/>
    <n v="4561"/>
    <n v="340.29166666666669"/>
    <x v="4"/>
  </r>
  <r>
    <x v="16"/>
    <x v="14"/>
    <n v="12541.5"/>
    <x v="350"/>
    <n v="36"/>
    <n v="4923"/>
    <n v="4560"/>
    <n v="348.375"/>
    <x v="4"/>
  </r>
  <r>
    <x v="0"/>
    <x v="13"/>
    <n v="206758.5"/>
    <x v="351"/>
    <n v="37"/>
    <n v="5215"/>
    <n v="4848"/>
    <n v="5588.0675675675675"/>
    <x v="0"/>
  </r>
  <r>
    <x v="1"/>
    <x v="13"/>
    <n v="244734"/>
    <x v="352"/>
    <n v="37"/>
    <n v="6645"/>
    <n v="6122"/>
    <n v="6614.4324324324325"/>
    <x v="0"/>
  </r>
  <r>
    <x v="2"/>
    <x v="13"/>
    <n v="191641.5"/>
    <x v="353"/>
    <n v="37"/>
    <n v="4840"/>
    <n v="4475"/>
    <n v="5179.5"/>
    <x v="0"/>
  </r>
  <r>
    <x v="3"/>
    <x v="14"/>
    <n v="16368"/>
    <x v="354"/>
    <n v="36"/>
    <n v="5286"/>
    <n v="4867"/>
    <n v="454.66666666666669"/>
    <x v="1"/>
  </r>
  <r>
    <x v="4"/>
    <x v="14"/>
    <n v="14427"/>
    <x v="355"/>
    <n v="36"/>
    <n v="5094"/>
    <n v="4716"/>
    <n v="400.75"/>
    <x v="2"/>
  </r>
  <r>
    <x v="5"/>
    <x v="14"/>
    <n v="13440"/>
    <x v="356"/>
    <n v="36"/>
    <n v="4918"/>
    <n v="4554"/>
    <n v="373.33333333333331"/>
    <x v="1"/>
  </r>
  <r>
    <x v="6"/>
    <x v="14"/>
    <n v="11745"/>
    <x v="357"/>
    <n v="36"/>
    <n v="5413"/>
    <n v="4959"/>
    <n v="326.25"/>
    <x v="3"/>
  </r>
  <r>
    <x v="7"/>
    <x v="14"/>
    <n v="11062.5"/>
    <x v="358"/>
    <n v="36"/>
    <n v="4508"/>
    <n v="4149"/>
    <n v="307.29166666666669"/>
    <x v="3"/>
  </r>
  <r>
    <x v="9"/>
    <x v="14"/>
    <n v="10018.5"/>
    <x v="359"/>
    <n v="36"/>
    <n v="3442"/>
    <n v="3147"/>
    <n v="278.29166666666669"/>
    <x v="4"/>
  </r>
  <r>
    <x v="10"/>
    <x v="15"/>
    <n v="10437"/>
    <x v="360"/>
    <n v="36"/>
    <n v="4770"/>
    <n v="4424"/>
    <n v="289.91666666666669"/>
    <x v="0"/>
  </r>
  <r>
    <x v="11"/>
    <x v="14"/>
    <n v="13644"/>
    <x v="361"/>
    <n v="36"/>
    <n v="5457"/>
    <n v="4916"/>
    <n v="379"/>
    <x v="4"/>
  </r>
  <r>
    <x v="12"/>
    <x v="14"/>
    <n v="13443"/>
    <x v="362"/>
    <n v="36"/>
    <n v="4418"/>
    <n v="4088"/>
    <n v="373.41666666666669"/>
    <x v="1"/>
  </r>
  <r>
    <x v="13"/>
    <x v="14"/>
    <n v="14182.5"/>
    <x v="363"/>
    <n v="36"/>
    <n v="4816"/>
    <n v="4452"/>
    <n v="393.95833333333331"/>
    <x v="2"/>
  </r>
  <r>
    <x v="14"/>
    <x v="14"/>
    <n v="14928"/>
    <x v="364"/>
    <n v="36"/>
    <n v="5914"/>
    <n v="5384"/>
    <n v="414.66666666666669"/>
    <x v="2"/>
  </r>
  <r>
    <x v="15"/>
    <x v="14"/>
    <n v="13941"/>
    <x v="365"/>
    <n v="36"/>
    <n v="4575"/>
    <n v="4206"/>
    <n v="387.25"/>
    <x v="3"/>
  </r>
  <r>
    <x v="17"/>
    <x v="14"/>
    <n v="14643"/>
    <x v="366"/>
    <n v="36"/>
    <n v="4967"/>
    <n v="4583"/>
    <n v="406.75"/>
    <x v="1"/>
  </r>
  <r>
    <x v="18"/>
    <x v="14"/>
    <n v="10032"/>
    <x v="367"/>
    <n v="36"/>
    <n v="4751"/>
    <n v="4370"/>
    <n v="278.66666666666669"/>
    <x v="4"/>
  </r>
  <r>
    <x v="19"/>
    <x v="14"/>
    <n v="12468"/>
    <x v="368"/>
    <n v="36"/>
    <n v="4384"/>
    <n v="4025"/>
    <n v="346.33333333333331"/>
    <x v="3"/>
  </r>
  <r>
    <x v="20"/>
    <x v="14"/>
    <n v="17943"/>
    <x v="369"/>
    <n v="36"/>
    <n v="5651"/>
    <n v="5212"/>
    <n v="498.41666666666669"/>
    <x v="2"/>
  </r>
  <r>
    <x v="21"/>
    <x v="14"/>
    <n v="15807"/>
    <x v="370"/>
    <n v="36"/>
    <n v="4641"/>
    <n v="4274"/>
    <n v="439.08333333333331"/>
    <x v="0"/>
  </r>
  <r>
    <x v="22"/>
    <x v="14"/>
    <n v="11976"/>
    <x v="371"/>
    <n v="36"/>
    <n v="5143"/>
    <n v="4715"/>
    <n v="332.66666666666669"/>
    <x v="4"/>
  </r>
  <r>
    <x v="23"/>
    <x v="14"/>
    <n v="14566.5"/>
    <x v="372"/>
    <n v="36"/>
    <n v="5746"/>
    <n v="5277"/>
    <n v="404.625"/>
    <x v="3"/>
  </r>
  <r>
    <x v="24"/>
    <x v="14"/>
    <n v="12976.5"/>
    <x v="373"/>
    <n v="36"/>
    <n v="4199"/>
    <n v="3867"/>
    <n v="360.45833333333331"/>
    <x v="3"/>
  </r>
  <r>
    <x v="25"/>
    <x v="14"/>
    <n v="11719.5"/>
    <x v="374"/>
    <n v="36"/>
    <n v="4826"/>
    <n v="4426"/>
    <n v="325.54166666666669"/>
    <x v="3"/>
  </r>
  <r>
    <x v="26"/>
    <x v="14"/>
    <n v="17197.5"/>
    <x v="375"/>
    <n v="36"/>
    <n v="4915"/>
    <n v="4562"/>
    <n v="477.70833333333331"/>
    <x v="2"/>
  </r>
  <r>
    <x v="10"/>
    <x v="14"/>
    <n v="14419.5"/>
    <x v="376"/>
    <n v="36"/>
    <n v="4770"/>
    <n v="4424"/>
    <n v="400.54166666666669"/>
    <x v="0"/>
  </r>
  <r>
    <x v="27"/>
    <x v="0"/>
    <n v="7816.5"/>
    <x v="377"/>
    <n v="37"/>
    <n v="4722"/>
    <n v="4352"/>
    <n v="211.25675675675674"/>
    <x v="5"/>
  </r>
  <r>
    <x v="0"/>
    <x v="16"/>
    <n v="6409.5"/>
    <x v="378"/>
    <n v="37"/>
    <n v="5215"/>
    <n v="4848"/>
    <n v="173.22972972972974"/>
    <x v="0"/>
  </r>
  <r>
    <x v="1"/>
    <x v="15"/>
    <n v="11220"/>
    <x v="379"/>
    <n v="37"/>
    <n v="6645"/>
    <n v="6122"/>
    <n v="303.24324324324323"/>
    <x v="0"/>
  </r>
  <r>
    <x v="28"/>
    <x v="0"/>
    <n v="8350.5"/>
    <x v="380"/>
    <n v="37"/>
    <n v="5672"/>
    <n v="5198"/>
    <n v="225.68918918918919"/>
    <x v="0"/>
  </r>
  <r>
    <x v="2"/>
    <x v="15"/>
    <n v="8428.5"/>
    <x v="381"/>
    <n v="37"/>
    <n v="4840"/>
    <n v="4475"/>
    <n v="227.79729729729729"/>
    <x v="0"/>
  </r>
  <r>
    <x v="29"/>
    <x v="1"/>
    <n v="32817"/>
    <x v="382"/>
    <n v="36"/>
    <n v="4951"/>
    <n v="4584"/>
    <n v="911.58333333333337"/>
    <x v="0"/>
  </r>
  <r>
    <x v="30"/>
    <x v="1"/>
    <n v="36031.5"/>
    <x v="383"/>
    <n v="36"/>
    <n v="4857"/>
    <n v="4456"/>
    <n v="1000.875"/>
    <x v="2"/>
  </r>
  <r>
    <x v="0"/>
    <x v="17"/>
    <n v="5127"/>
    <x v="384"/>
    <n v="37"/>
    <n v="5215"/>
    <n v="4848"/>
    <n v="138.56756756756758"/>
    <x v="0"/>
  </r>
  <r>
    <x v="31"/>
    <x v="1"/>
    <n v="27187.5"/>
    <x v="385"/>
    <n v="36"/>
    <n v="4150"/>
    <n v="3838"/>
    <n v="755.20833333333337"/>
    <x v="1"/>
  </r>
  <r>
    <x v="1"/>
    <x v="14"/>
    <n v="20688"/>
    <x v="386"/>
    <n v="37"/>
    <n v="6645"/>
    <n v="6122"/>
    <n v="559.1351351351351"/>
    <x v="0"/>
  </r>
  <r>
    <x v="2"/>
    <x v="14"/>
    <n v="15678"/>
    <x v="387"/>
    <n v="37"/>
    <n v="4840"/>
    <n v="4475"/>
    <n v="423.72972972972974"/>
    <x v="0"/>
  </r>
  <r>
    <x v="32"/>
    <x v="1"/>
    <n v="31329"/>
    <x v="388"/>
    <n v="36"/>
    <n v="4885"/>
    <n v="4502"/>
    <n v="870.25"/>
    <x v="2"/>
  </r>
  <r>
    <x v="33"/>
    <x v="1"/>
    <n v="29658"/>
    <x v="389"/>
    <n v="36"/>
    <n v="4285"/>
    <n v="3950"/>
    <n v="823.83333333333337"/>
    <x v="1"/>
  </r>
  <r>
    <x v="34"/>
    <x v="1"/>
    <n v="34150.5"/>
    <x v="390"/>
    <n v="36"/>
    <n v="4862"/>
    <n v="4476"/>
    <n v="948.625"/>
    <x v="1"/>
  </r>
  <r>
    <x v="27"/>
    <x v="1"/>
    <n v="31947"/>
    <x v="391"/>
    <n v="37"/>
    <n v="4722"/>
    <n v="4352"/>
    <n v="863.43243243243239"/>
    <x v="5"/>
  </r>
  <r>
    <x v="0"/>
    <x v="15"/>
    <n v="10416"/>
    <x v="392"/>
    <n v="37"/>
    <n v="5215"/>
    <n v="4848"/>
    <n v="281.51351351351349"/>
    <x v="0"/>
  </r>
  <r>
    <x v="28"/>
    <x v="1"/>
    <n v="35431.5"/>
    <x v="393"/>
    <n v="37"/>
    <n v="5672"/>
    <n v="5198"/>
    <n v="957.60810810810813"/>
    <x v="0"/>
  </r>
  <r>
    <x v="29"/>
    <x v="2"/>
    <n v="78544.5"/>
    <x v="394"/>
    <n v="36"/>
    <n v="4951"/>
    <n v="4584"/>
    <n v="2181.7916666666665"/>
    <x v="0"/>
  </r>
  <r>
    <x v="30"/>
    <x v="2"/>
    <n v="97963.5"/>
    <x v="395"/>
    <n v="36"/>
    <n v="4857"/>
    <n v="4456"/>
    <n v="2721.2083333333335"/>
    <x v="2"/>
  </r>
  <r>
    <x v="27"/>
    <x v="2"/>
    <n v="77269.5"/>
    <x v="396"/>
    <n v="37"/>
    <n v="4722"/>
    <n v="4352"/>
    <n v="2088.364864864865"/>
    <x v="5"/>
  </r>
  <r>
    <x v="0"/>
    <x v="14"/>
    <n v="16143"/>
    <x v="397"/>
    <n v="37"/>
    <n v="5215"/>
    <n v="4848"/>
    <n v="436.29729729729729"/>
    <x v="0"/>
  </r>
  <r>
    <x v="31"/>
    <x v="2"/>
    <n v="72220.5"/>
    <x v="398"/>
    <n v="36"/>
    <n v="4150"/>
    <n v="3838"/>
    <n v="2006.125"/>
    <x v="1"/>
  </r>
  <r>
    <x v="32"/>
    <x v="2"/>
    <n v="78058.5"/>
    <x v="399"/>
    <n v="36"/>
    <n v="4885"/>
    <n v="4502"/>
    <n v="2168.2916666666665"/>
    <x v="2"/>
  </r>
  <r>
    <x v="33"/>
    <x v="2"/>
    <n v="70498.5"/>
    <x v="400"/>
    <n v="36"/>
    <n v="4285"/>
    <n v="3950"/>
    <n v="1958.2916666666667"/>
    <x v="1"/>
  </r>
  <r>
    <x v="34"/>
    <x v="2"/>
    <n v="78961.5"/>
    <x v="401"/>
    <n v="36"/>
    <n v="4862"/>
    <n v="4476"/>
    <n v="2193.375"/>
    <x v="1"/>
  </r>
  <r>
    <x v="29"/>
    <x v="3"/>
    <n v="12490.5"/>
    <x v="402"/>
    <n v="36"/>
    <n v="4951"/>
    <n v="4584"/>
    <n v="346.95833333333331"/>
    <x v="0"/>
  </r>
  <r>
    <x v="30"/>
    <x v="3"/>
    <n v="18036"/>
    <x v="403"/>
    <n v="36"/>
    <n v="4857"/>
    <n v="4456"/>
    <n v="501"/>
    <x v="2"/>
  </r>
  <r>
    <x v="27"/>
    <x v="3"/>
    <n v="11416.5"/>
    <x v="404"/>
    <n v="37"/>
    <n v="4722"/>
    <n v="4352"/>
    <n v="308.55405405405406"/>
    <x v="5"/>
  </r>
  <r>
    <x v="31"/>
    <x v="3"/>
    <n v="9007.5"/>
    <x v="405"/>
    <n v="36"/>
    <n v="4150"/>
    <n v="3838"/>
    <n v="250.20833333333334"/>
    <x v="1"/>
  </r>
  <r>
    <x v="28"/>
    <x v="2"/>
    <n v="87552"/>
    <x v="406"/>
    <n v="37"/>
    <n v="5672"/>
    <n v="5198"/>
    <n v="2366.2702702702704"/>
    <x v="0"/>
  </r>
  <r>
    <x v="32"/>
    <x v="3"/>
    <n v="11680.5"/>
    <x v="407"/>
    <n v="36"/>
    <n v="4885"/>
    <n v="4502"/>
    <n v="324.45833333333331"/>
    <x v="2"/>
  </r>
  <r>
    <x v="33"/>
    <x v="3"/>
    <n v="12037.5"/>
    <x v="408"/>
    <n v="36"/>
    <n v="4285"/>
    <n v="3950"/>
    <n v="334.375"/>
    <x v="1"/>
  </r>
  <r>
    <x v="34"/>
    <x v="3"/>
    <n v="14421"/>
    <x v="409"/>
    <n v="36"/>
    <n v="4862"/>
    <n v="4476"/>
    <n v="400.58333333333331"/>
    <x v="1"/>
  </r>
  <r>
    <x v="28"/>
    <x v="3"/>
    <n v="14823"/>
    <x v="410"/>
    <n v="37"/>
    <n v="5672"/>
    <n v="5198"/>
    <n v="400.62162162162161"/>
    <x v="0"/>
  </r>
  <r>
    <x v="29"/>
    <x v="4"/>
    <n v="31257"/>
    <x v="411"/>
    <n v="36"/>
    <n v="4951"/>
    <n v="4584"/>
    <n v="868.25"/>
    <x v="0"/>
  </r>
  <r>
    <x v="30"/>
    <x v="4"/>
    <n v="38074.5"/>
    <x v="412"/>
    <n v="36"/>
    <n v="4857"/>
    <n v="4456"/>
    <n v="1057.625"/>
    <x v="2"/>
  </r>
  <r>
    <x v="27"/>
    <x v="4"/>
    <n v="32170.5"/>
    <x v="413"/>
    <n v="37"/>
    <n v="4722"/>
    <n v="4352"/>
    <n v="869.47297297297303"/>
    <x v="5"/>
  </r>
  <r>
    <x v="31"/>
    <x v="4"/>
    <n v="42397.5"/>
    <x v="414"/>
    <n v="36"/>
    <n v="4150"/>
    <n v="3838"/>
    <n v="1177.7083333333333"/>
    <x v="1"/>
  </r>
  <r>
    <x v="32"/>
    <x v="4"/>
    <n v="28668"/>
    <x v="415"/>
    <n v="36"/>
    <n v="4885"/>
    <n v="4502"/>
    <n v="796.33333333333337"/>
    <x v="2"/>
  </r>
  <r>
    <x v="33"/>
    <x v="4"/>
    <n v="27411"/>
    <x v="416"/>
    <n v="36"/>
    <n v="4285"/>
    <n v="3950"/>
    <n v="761.41666666666663"/>
    <x v="1"/>
  </r>
  <r>
    <x v="34"/>
    <x v="4"/>
    <n v="32854.5"/>
    <x v="417"/>
    <n v="36"/>
    <n v="4862"/>
    <n v="4476"/>
    <n v="912.625"/>
    <x v="1"/>
  </r>
  <r>
    <x v="28"/>
    <x v="4"/>
    <n v="35346"/>
    <x v="418"/>
    <n v="37"/>
    <n v="5672"/>
    <n v="5198"/>
    <n v="955.29729729729729"/>
    <x v="0"/>
  </r>
  <r>
    <x v="29"/>
    <x v="5"/>
    <n v="286558.5"/>
    <x v="419"/>
    <n v="36"/>
    <n v="4951"/>
    <n v="4584"/>
    <n v="7959.958333333333"/>
    <x v="0"/>
  </r>
  <r>
    <x v="30"/>
    <x v="5"/>
    <n v="304092"/>
    <x v="420"/>
    <n v="36"/>
    <n v="4857"/>
    <n v="4456"/>
    <n v="8447"/>
    <x v="2"/>
  </r>
  <r>
    <x v="27"/>
    <x v="5"/>
    <n v="272926.5"/>
    <x v="421"/>
    <n v="37"/>
    <n v="4722"/>
    <n v="4352"/>
    <n v="7376.3918918918916"/>
    <x v="5"/>
  </r>
  <r>
    <x v="31"/>
    <x v="5"/>
    <n v="237099"/>
    <x v="422"/>
    <n v="36"/>
    <n v="4150"/>
    <n v="3838"/>
    <n v="6586.083333333333"/>
    <x v="1"/>
  </r>
  <r>
    <x v="32"/>
    <x v="5"/>
    <n v="273900"/>
    <x v="423"/>
    <n v="36"/>
    <n v="4885"/>
    <n v="4502"/>
    <n v="7608.333333333333"/>
    <x v="2"/>
  </r>
  <r>
    <x v="33"/>
    <x v="5"/>
    <n v="274059"/>
    <x v="424"/>
    <n v="36"/>
    <n v="4285"/>
    <n v="3950"/>
    <n v="7612.75"/>
    <x v="1"/>
  </r>
  <r>
    <x v="34"/>
    <x v="5"/>
    <n v="318816"/>
    <x v="425"/>
    <n v="36"/>
    <n v="4862"/>
    <n v="4476"/>
    <n v="8856"/>
    <x v="1"/>
  </r>
  <r>
    <x v="29"/>
    <x v="6"/>
    <n v="370012.5"/>
    <x v="426"/>
    <n v="36"/>
    <n v="4951"/>
    <n v="4584"/>
    <n v="10278.125"/>
    <x v="0"/>
  </r>
  <r>
    <x v="30"/>
    <x v="6"/>
    <n v="393018"/>
    <x v="427"/>
    <n v="36"/>
    <n v="4857"/>
    <n v="4456"/>
    <n v="10917.166666666666"/>
    <x v="2"/>
  </r>
  <r>
    <x v="27"/>
    <x v="6"/>
    <n v="349699.5"/>
    <x v="428"/>
    <n v="37"/>
    <n v="4722"/>
    <n v="4352"/>
    <n v="9451.3378378378384"/>
    <x v="5"/>
  </r>
  <r>
    <x v="31"/>
    <x v="6"/>
    <n v="318565.5"/>
    <x v="429"/>
    <n v="36"/>
    <n v="4150"/>
    <n v="3838"/>
    <n v="8849.0416666666661"/>
    <x v="1"/>
  </r>
  <r>
    <x v="28"/>
    <x v="5"/>
    <n v="422965.5"/>
    <x v="430"/>
    <n v="37"/>
    <n v="5672"/>
    <n v="5198"/>
    <n v="11431.5"/>
    <x v="0"/>
  </r>
  <r>
    <x v="32"/>
    <x v="6"/>
    <n v="355081.5"/>
    <x v="431"/>
    <n v="36"/>
    <n v="4885"/>
    <n v="4502"/>
    <n v="9863.375"/>
    <x v="2"/>
  </r>
  <r>
    <x v="33"/>
    <x v="6"/>
    <n v="358387.5"/>
    <x v="432"/>
    <n v="36"/>
    <n v="4285"/>
    <n v="3950"/>
    <n v="9955.2083333333339"/>
    <x v="1"/>
  </r>
  <r>
    <x v="34"/>
    <x v="6"/>
    <n v="403261.5"/>
    <x v="433"/>
    <n v="36"/>
    <n v="4862"/>
    <n v="4476"/>
    <n v="11201.708333333334"/>
    <x v="1"/>
  </r>
  <r>
    <x v="29"/>
    <x v="7"/>
    <n v="69010.5"/>
    <x v="434"/>
    <n v="36"/>
    <n v="4951"/>
    <n v="4584"/>
    <n v="1916.9583333333333"/>
    <x v="0"/>
  </r>
  <r>
    <x v="30"/>
    <x v="7"/>
    <n v="75820.5"/>
    <x v="435"/>
    <n v="36"/>
    <n v="4857"/>
    <n v="4456"/>
    <n v="2106.125"/>
    <x v="2"/>
  </r>
  <r>
    <x v="27"/>
    <x v="7"/>
    <n v="64740"/>
    <x v="436"/>
    <n v="37"/>
    <n v="4722"/>
    <n v="4352"/>
    <n v="1749.7297297297298"/>
    <x v="5"/>
  </r>
  <r>
    <x v="31"/>
    <x v="7"/>
    <n v="59574"/>
    <x v="437"/>
    <n v="36"/>
    <n v="4150"/>
    <n v="3838"/>
    <n v="1654.8333333333333"/>
    <x v="1"/>
  </r>
  <r>
    <x v="28"/>
    <x v="6"/>
    <n v="524481"/>
    <x v="438"/>
    <n v="37"/>
    <n v="5672"/>
    <n v="5198"/>
    <n v="14175.162162162162"/>
    <x v="0"/>
  </r>
  <r>
    <x v="32"/>
    <x v="7"/>
    <n v="70278"/>
    <x v="439"/>
    <n v="36"/>
    <n v="4885"/>
    <n v="4502"/>
    <n v="1952.1666666666667"/>
    <x v="2"/>
  </r>
  <r>
    <x v="33"/>
    <x v="7"/>
    <n v="63645"/>
    <x v="440"/>
    <n v="36"/>
    <n v="4285"/>
    <n v="3950"/>
    <n v="1767.9166666666667"/>
    <x v="1"/>
  </r>
  <r>
    <x v="34"/>
    <x v="7"/>
    <n v="75642"/>
    <x v="441"/>
    <n v="36"/>
    <n v="4862"/>
    <n v="4476"/>
    <n v="2101.1666666666665"/>
    <x v="1"/>
  </r>
  <r>
    <x v="29"/>
    <x v="8"/>
    <n v="40420.5"/>
    <x v="442"/>
    <n v="36"/>
    <n v="4951"/>
    <n v="4584"/>
    <n v="1122.7916666666667"/>
    <x v="0"/>
  </r>
  <r>
    <x v="30"/>
    <x v="8"/>
    <n v="53838"/>
    <x v="443"/>
    <n v="36"/>
    <n v="4857"/>
    <n v="4456"/>
    <n v="1495.5"/>
    <x v="2"/>
  </r>
  <r>
    <x v="27"/>
    <x v="8"/>
    <n v="40528.5"/>
    <x v="444"/>
    <n v="37"/>
    <n v="4722"/>
    <n v="4352"/>
    <n v="1095.3648648648648"/>
    <x v="5"/>
  </r>
  <r>
    <x v="31"/>
    <x v="8"/>
    <n v="32733"/>
    <x v="445"/>
    <n v="36"/>
    <n v="4150"/>
    <n v="3838"/>
    <n v="909.25"/>
    <x v="1"/>
  </r>
  <r>
    <x v="28"/>
    <x v="7"/>
    <n v="84433.5"/>
    <x v="446"/>
    <n v="37"/>
    <n v="5672"/>
    <n v="5198"/>
    <n v="2281.9864864864867"/>
    <x v="0"/>
  </r>
  <r>
    <x v="32"/>
    <x v="8"/>
    <n v="36655.5"/>
    <x v="447"/>
    <n v="36"/>
    <n v="4885"/>
    <n v="4502"/>
    <n v="1018.2083333333334"/>
    <x v="2"/>
  </r>
  <r>
    <x v="33"/>
    <x v="8"/>
    <n v="33886.5"/>
    <x v="448"/>
    <n v="36"/>
    <n v="4285"/>
    <n v="3950"/>
    <n v="941.29166666666663"/>
    <x v="1"/>
  </r>
  <r>
    <x v="34"/>
    <x v="8"/>
    <n v="41697"/>
    <x v="449"/>
    <n v="36"/>
    <n v="4862"/>
    <n v="4476"/>
    <n v="1158.25"/>
    <x v="1"/>
  </r>
  <r>
    <x v="28"/>
    <x v="8"/>
    <n v="44569.5"/>
    <x v="450"/>
    <n v="37"/>
    <n v="5672"/>
    <n v="5198"/>
    <n v="1204.581081081081"/>
    <x v="0"/>
  </r>
  <r>
    <x v="29"/>
    <x v="9"/>
    <n v="18069"/>
    <x v="451"/>
    <n v="36"/>
    <n v="4951"/>
    <n v="4584"/>
    <n v="501.91666666666669"/>
    <x v="0"/>
  </r>
  <r>
    <x v="30"/>
    <x v="9"/>
    <n v="21483"/>
    <x v="452"/>
    <n v="36"/>
    <n v="4857"/>
    <n v="4456"/>
    <n v="596.75"/>
    <x v="2"/>
  </r>
  <r>
    <x v="27"/>
    <x v="9"/>
    <n v="16687.5"/>
    <x v="453"/>
    <n v="37"/>
    <n v="4722"/>
    <n v="4352"/>
    <n v="451.01351351351349"/>
    <x v="5"/>
  </r>
  <r>
    <x v="31"/>
    <x v="9"/>
    <n v="12238.5"/>
    <x v="454"/>
    <n v="36"/>
    <n v="4150"/>
    <n v="3838"/>
    <n v="339.95833333333331"/>
    <x v="1"/>
  </r>
  <r>
    <x v="32"/>
    <x v="9"/>
    <n v="14290.5"/>
    <x v="455"/>
    <n v="36"/>
    <n v="4885"/>
    <n v="4502"/>
    <n v="396.95833333333331"/>
    <x v="2"/>
  </r>
  <r>
    <x v="33"/>
    <x v="9"/>
    <n v="14385"/>
    <x v="456"/>
    <n v="36"/>
    <n v="4285"/>
    <n v="3950"/>
    <n v="399.58333333333331"/>
    <x v="1"/>
  </r>
  <r>
    <x v="34"/>
    <x v="9"/>
    <n v="16498.5"/>
    <x v="457"/>
    <n v="36"/>
    <n v="4862"/>
    <n v="4476"/>
    <n v="458.29166666666669"/>
    <x v="1"/>
  </r>
  <r>
    <x v="29"/>
    <x v="10"/>
    <n v="13203"/>
    <x v="458"/>
    <n v="36"/>
    <n v="4951"/>
    <n v="4584"/>
    <n v="366.75"/>
    <x v="0"/>
  </r>
  <r>
    <x v="30"/>
    <x v="10"/>
    <n v="15802.5"/>
    <x v="459"/>
    <n v="36"/>
    <n v="4857"/>
    <n v="4456"/>
    <n v="438.95833333333331"/>
    <x v="2"/>
  </r>
  <r>
    <x v="27"/>
    <x v="10"/>
    <n v="16476"/>
    <x v="460"/>
    <n v="37"/>
    <n v="4722"/>
    <n v="4352"/>
    <n v="445.29729729729729"/>
    <x v="5"/>
  </r>
  <r>
    <x v="31"/>
    <x v="10"/>
    <n v="12654"/>
    <x v="461"/>
    <n v="36"/>
    <n v="4150"/>
    <n v="3838"/>
    <n v="351.5"/>
    <x v="1"/>
  </r>
  <r>
    <x v="28"/>
    <x v="9"/>
    <n v="19647"/>
    <x v="462"/>
    <n v="37"/>
    <n v="5672"/>
    <n v="5198"/>
    <n v="531"/>
    <x v="0"/>
  </r>
  <r>
    <x v="32"/>
    <x v="10"/>
    <n v="12450"/>
    <x v="463"/>
    <n v="36"/>
    <n v="4885"/>
    <n v="4502"/>
    <n v="345.83333333333331"/>
    <x v="2"/>
  </r>
  <r>
    <x v="33"/>
    <x v="10"/>
    <n v="11161.5"/>
    <x v="464"/>
    <n v="36"/>
    <n v="4285"/>
    <n v="3950"/>
    <n v="310.04166666666669"/>
    <x v="1"/>
  </r>
  <r>
    <x v="34"/>
    <x v="10"/>
    <n v="12229.5"/>
    <x v="465"/>
    <n v="36"/>
    <n v="4862"/>
    <n v="4476"/>
    <n v="339.70833333333331"/>
    <x v="1"/>
  </r>
  <r>
    <x v="29"/>
    <x v="11"/>
    <n v="28050"/>
    <x v="466"/>
    <n v="36"/>
    <n v="4951"/>
    <n v="4584"/>
    <n v="779.16666666666663"/>
    <x v="0"/>
  </r>
  <r>
    <x v="30"/>
    <x v="11"/>
    <n v="30781.5"/>
    <x v="467"/>
    <n v="36"/>
    <n v="4857"/>
    <n v="4456"/>
    <n v="855.04166666666663"/>
    <x v="2"/>
  </r>
  <r>
    <x v="27"/>
    <x v="11"/>
    <n v="27960"/>
    <x v="468"/>
    <n v="37"/>
    <n v="4722"/>
    <n v="4352"/>
    <n v="755.67567567567562"/>
    <x v="5"/>
  </r>
  <r>
    <x v="31"/>
    <x v="11"/>
    <n v="23629.5"/>
    <x v="469"/>
    <n v="36"/>
    <n v="4150"/>
    <n v="3838"/>
    <n v="656.375"/>
    <x v="1"/>
  </r>
  <r>
    <x v="28"/>
    <x v="10"/>
    <n v="17052"/>
    <x v="470"/>
    <n v="37"/>
    <n v="5672"/>
    <n v="5198"/>
    <n v="460.86486486486484"/>
    <x v="0"/>
  </r>
  <r>
    <x v="32"/>
    <x v="11"/>
    <n v="27181.5"/>
    <x v="471"/>
    <n v="36"/>
    <n v="4885"/>
    <n v="4502"/>
    <n v="755.04166666666663"/>
    <x v="2"/>
  </r>
  <r>
    <x v="33"/>
    <x v="11"/>
    <n v="25656"/>
    <x v="472"/>
    <n v="36"/>
    <n v="4285"/>
    <n v="3950"/>
    <n v="712.66666666666663"/>
    <x v="1"/>
  </r>
  <r>
    <x v="34"/>
    <x v="11"/>
    <n v="29283"/>
    <x v="473"/>
    <n v="36"/>
    <n v="4862"/>
    <n v="4476"/>
    <n v="813.41666666666663"/>
    <x v="1"/>
  </r>
  <r>
    <x v="28"/>
    <x v="11"/>
    <n v="32782.5"/>
    <x v="474"/>
    <n v="37"/>
    <n v="5672"/>
    <n v="5198"/>
    <n v="886.01351351351354"/>
    <x v="0"/>
  </r>
  <r>
    <x v="29"/>
    <x v="12"/>
    <n v="215592"/>
    <x v="475"/>
    <n v="36"/>
    <n v="4951"/>
    <n v="4584"/>
    <n v="5988.666666666667"/>
    <x v="0"/>
  </r>
  <r>
    <x v="30"/>
    <x v="12"/>
    <n v="228334.5"/>
    <x v="476"/>
    <n v="36"/>
    <n v="4857"/>
    <n v="4456"/>
    <n v="6342.625"/>
    <x v="2"/>
  </r>
  <r>
    <x v="27"/>
    <x v="12"/>
    <n v="188776.5"/>
    <x v="477"/>
    <n v="37"/>
    <n v="4722"/>
    <n v="4352"/>
    <n v="5102.0675675675675"/>
    <x v="5"/>
  </r>
  <r>
    <x v="31"/>
    <x v="12"/>
    <n v="175293"/>
    <x v="478"/>
    <n v="36"/>
    <n v="4150"/>
    <n v="3838"/>
    <n v="4869.25"/>
    <x v="1"/>
  </r>
  <r>
    <x v="32"/>
    <x v="12"/>
    <n v="201999"/>
    <x v="479"/>
    <n v="36"/>
    <n v="4885"/>
    <n v="4502"/>
    <n v="5611.083333333333"/>
    <x v="2"/>
  </r>
  <r>
    <x v="33"/>
    <x v="12"/>
    <n v="197946"/>
    <x v="480"/>
    <n v="36"/>
    <n v="4285"/>
    <n v="3950"/>
    <n v="5498.5"/>
    <x v="1"/>
  </r>
  <r>
    <x v="34"/>
    <x v="12"/>
    <n v="230896.5"/>
    <x v="481"/>
    <n v="36"/>
    <n v="4862"/>
    <n v="4476"/>
    <n v="6413.791666666667"/>
    <x v="1"/>
  </r>
  <r>
    <x v="29"/>
    <x v="13"/>
    <n v="203532"/>
    <x v="482"/>
    <n v="36"/>
    <n v="4951"/>
    <n v="4584"/>
    <n v="5653.666666666667"/>
    <x v="0"/>
  </r>
  <r>
    <x v="30"/>
    <x v="13"/>
    <n v="214428"/>
    <x v="483"/>
    <n v="36"/>
    <n v="4857"/>
    <n v="4456"/>
    <n v="5956.333333333333"/>
    <x v="2"/>
  </r>
  <r>
    <x v="27"/>
    <x v="13"/>
    <n v="183228"/>
    <x v="484"/>
    <n v="37"/>
    <n v="4722"/>
    <n v="4352"/>
    <n v="4952.1081081081084"/>
    <x v="5"/>
  </r>
  <r>
    <x v="31"/>
    <x v="13"/>
    <n v="166948.5"/>
    <x v="485"/>
    <n v="36"/>
    <n v="4150"/>
    <n v="3838"/>
    <n v="4637.458333333333"/>
    <x v="1"/>
  </r>
  <r>
    <x v="28"/>
    <x v="12"/>
    <n v="232102.5"/>
    <x v="486"/>
    <n v="37"/>
    <n v="5672"/>
    <n v="5198"/>
    <n v="6273.0405405405409"/>
    <x v="0"/>
  </r>
  <r>
    <x v="32"/>
    <x v="13"/>
    <n v="196560"/>
    <x v="487"/>
    <n v="36"/>
    <n v="4885"/>
    <n v="4502"/>
    <n v="5460"/>
    <x v="2"/>
  </r>
  <r>
    <x v="33"/>
    <x v="13"/>
    <n v="186496.5"/>
    <x v="488"/>
    <n v="36"/>
    <n v="4285"/>
    <n v="3950"/>
    <n v="5180.458333333333"/>
    <x v="1"/>
  </r>
  <r>
    <x v="34"/>
    <x v="13"/>
    <n v="219772.5"/>
    <x v="489"/>
    <n v="36"/>
    <n v="4862"/>
    <n v="4476"/>
    <n v="6104.791666666667"/>
    <x v="1"/>
  </r>
  <r>
    <x v="28"/>
    <x v="13"/>
    <n v="226476"/>
    <x v="490"/>
    <n v="37"/>
    <n v="5672"/>
    <n v="5198"/>
    <n v="6120.9729729729734"/>
    <x v="0"/>
  </r>
  <r>
    <x v="29"/>
    <x v="15"/>
    <n v="8362.5"/>
    <x v="491"/>
    <n v="36"/>
    <n v="4951"/>
    <n v="4584"/>
    <n v="232.29166666666666"/>
    <x v="0"/>
  </r>
  <r>
    <x v="30"/>
    <x v="14"/>
    <n v="17008.5"/>
    <x v="492"/>
    <n v="36"/>
    <n v="4857"/>
    <n v="4456"/>
    <n v="472.45833333333331"/>
    <x v="2"/>
  </r>
  <r>
    <x v="27"/>
    <x v="16"/>
    <n v="5166"/>
    <x v="493"/>
    <n v="37"/>
    <n v="4722"/>
    <n v="4352"/>
    <n v="139.62162162162161"/>
    <x v="5"/>
  </r>
  <r>
    <x v="31"/>
    <x v="14"/>
    <n v="10941"/>
    <x v="494"/>
    <n v="36"/>
    <n v="4150"/>
    <n v="3838"/>
    <n v="303.91666666666669"/>
    <x v="1"/>
  </r>
  <r>
    <x v="32"/>
    <x v="14"/>
    <n v="14497.5"/>
    <x v="495"/>
    <n v="36"/>
    <n v="4885"/>
    <n v="4502"/>
    <n v="402.70833333333331"/>
    <x v="2"/>
  </r>
  <r>
    <x v="33"/>
    <x v="14"/>
    <n v="13810.5"/>
    <x v="496"/>
    <n v="36"/>
    <n v="4285"/>
    <n v="3950"/>
    <n v="383.625"/>
    <x v="1"/>
  </r>
  <r>
    <x v="34"/>
    <x v="14"/>
    <n v="13752"/>
    <x v="497"/>
    <n v="36"/>
    <n v="4862"/>
    <n v="4476"/>
    <n v="382"/>
    <x v="1"/>
  </r>
  <r>
    <x v="29"/>
    <x v="14"/>
    <n v="15276"/>
    <x v="498"/>
    <n v="36"/>
    <n v="4951"/>
    <n v="4584"/>
    <n v="424.33333333333331"/>
    <x v="0"/>
  </r>
  <r>
    <x v="27"/>
    <x v="17"/>
    <n v="4408.5"/>
    <x v="499"/>
    <n v="37"/>
    <n v="4722"/>
    <n v="4352"/>
    <n v="119.14864864864865"/>
    <x v="5"/>
  </r>
  <r>
    <x v="28"/>
    <x v="15"/>
    <n v="9927"/>
    <x v="500"/>
    <n v="37"/>
    <n v="5672"/>
    <n v="5198"/>
    <n v="268.29729729729729"/>
    <x v="0"/>
  </r>
  <r>
    <x v="27"/>
    <x v="15"/>
    <n v="9474"/>
    <x v="501"/>
    <n v="37"/>
    <n v="4722"/>
    <n v="4352"/>
    <n v="256.05405405405406"/>
    <x v="5"/>
  </r>
  <r>
    <x v="28"/>
    <x v="14"/>
    <n v="16878"/>
    <x v="502"/>
    <n v="37"/>
    <n v="5672"/>
    <n v="5198"/>
    <n v="456.16216216216219"/>
    <x v="0"/>
  </r>
  <r>
    <x v="27"/>
    <x v="14"/>
    <n v="14238"/>
    <x v="503"/>
    <n v="37"/>
    <n v="4722"/>
    <n v="4352"/>
    <n v="384.8108108108108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B5AFB-59C7-43A8-8C3E-42D096F2CACE}" name="Сводная таблица1" cacheId="7" dataOnRows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E100" firstHeaderRow="1" firstDataRow="4" firstDataCol="1"/>
  <pivotFields count="11">
    <pivotField axis="axisCol" numFmtId="16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numFmtId="170" showAll="0"/>
    <pivotField showAll="0">
      <items count="7">
        <item x="4"/>
        <item x="3"/>
        <item x="1"/>
        <item x="2"/>
        <item x="0"/>
        <item x="5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-2"/>
  </rowFields>
  <rowItems count="94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  <i>
      <x v="2"/>
    </i>
    <i r="1">
      <x/>
    </i>
    <i r="1" i="1">
      <x v="1"/>
    </i>
    <i r="1" i="2">
      <x v="2"/>
    </i>
    <i r="1" i="3">
      <x v="3"/>
    </i>
    <i>
      <x v="3"/>
    </i>
    <i r="1">
      <x/>
    </i>
    <i r="1" i="1">
      <x v="1"/>
    </i>
    <i r="1" i="2">
      <x v="2"/>
    </i>
    <i r="1" i="3">
      <x v="3"/>
    </i>
    <i>
      <x v="4"/>
    </i>
    <i r="1">
      <x/>
    </i>
    <i r="1" i="1">
      <x v="1"/>
    </i>
    <i r="1" i="2">
      <x v="2"/>
    </i>
    <i r="1" i="3">
      <x v="3"/>
    </i>
    <i>
      <x v="5"/>
    </i>
    <i r="1">
      <x/>
    </i>
    <i r="1" i="1">
      <x v="1"/>
    </i>
    <i r="1" i="2">
      <x v="2"/>
    </i>
    <i r="1" i="3">
      <x v="3"/>
    </i>
    <i>
      <x v="6"/>
    </i>
    <i r="1">
      <x/>
    </i>
    <i r="1" i="1">
      <x v="1"/>
    </i>
    <i r="1" i="2">
      <x v="2"/>
    </i>
    <i r="1" i="3">
      <x v="3"/>
    </i>
    <i>
      <x v="7"/>
    </i>
    <i r="1">
      <x/>
    </i>
    <i r="1" i="1">
      <x v="1"/>
    </i>
    <i r="1" i="2">
      <x v="2"/>
    </i>
    <i r="1" i="3">
      <x v="3"/>
    </i>
    <i>
      <x v="8"/>
    </i>
    <i r="1">
      <x/>
    </i>
    <i r="1" i="1">
      <x v="1"/>
    </i>
    <i r="1" i="2">
      <x v="2"/>
    </i>
    <i r="1" i="3">
      <x v="3"/>
    </i>
    <i>
      <x v="9"/>
    </i>
    <i r="1">
      <x/>
    </i>
    <i r="1" i="1">
      <x v="1"/>
    </i>
    <i r="1" i="2">
      <x v="2"/>
    </i>
    <i r="1" i="3">
      <x v="3"/>
    </i>
    <i>
      <x v="10"/>
    </i>
    <i r="1">
      <x/>
    </i>
    <i r="1" i="1">
      <x v="1"/>
    </i>
    <i r="1" i="2">
      <x v="2"/>
    </i>
    <i r="1" i="3">
      <x v="3"/>
    </i>
    <i>
      <x v="11"/>
    </i>
    <i r="1">
      <x/>
    </i>
    <i r="1" i="1">
      <x v="1"/>
    </i>
    <i r="1" i="2">
      <x v="2"/>
    </i>
    <i r="1" i="3">
      <x v="3"/>
    </i>
    <i>
      <x v="12"/>
    </i>
    <i r="1">
      <x/>
    </i>
    <i r="1" i="1">
      <x v="1"/>
    </i>
    <i r="1" i="2">
      <x v="2"/>
    </i>
    <i r="1" i="3">
      <x v="3"/>
    </i>
    <i>
      <x v="13"/>
    </i>
    <i r="1">
      <x/>
    </i>
    <i r="1" i="1">
      <x v="1"/>
    </i>
    <i r="1" i="2">
      <x v="2"/>
    </i>
    <i r="1" i="3">
      <x v="3"/>
    </i>
    <i>
      <x v="14"/>
    </i>
    <i r="1">
      <x/>
    </i>
    <i r="1" i="1">
      <x v="1"/>
    </i>
    <i r="1" i="2">
      <x v="2"/>
    </i>
    <i r="1" i="3">
      <x v="3"/>
    </i>
    <i>
      <x v="15"/>
    </i>
    <i r="1">
      <x/>
    </i>
    <i r="1" i="1">
      <x v="1"/>
    </i>
    <i r="1" i="2">
      <x v="2"/>
    </i>
    <i r="1" i="3">
      <x v="3"/>
    </i>
    <i>
      <x v="16"/>
    </i>
    <i r="1">
      <x/>
    </i>
    <i r="1" i="1">
      <x v="1"/>
    </i>
    <i r="1" i="2">
      <x v="2"/>
    </i>
    <i r="1" i="3">
      <x v="3"/>
    </i>
    <i>
      <x v="17"/>
    </i>
    <i r="1"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rowItems>
  <colFields count="3">
    <field x="10"/>
    <field x="9"/>
    <field x="0"/>
  </colFields>
  <colItems count="4">
    <i>
      <x v="4"/>
    </i>
    <i>
      <x v="5"/>
    </i>
    <i>
      <x v="6"/>
    </i>
    <i t="grand">
      <x/>
    </i>
  </colItems>
  <dataFields count="4">
    <dataField name="Сумма по полю Количество клиентов" fld="6" baseField="0" baseItem="0"/>
    <dataField name="Сумма по полю Товарооборот, руб" fld="3" baseField="0" baseItem="0"/>
    <dataField name="Сумма по полю Товарооборот, шт" fld="2" baseField="0" baseItem="0"/>
    <dataField name="Сумма по полю Количество заказов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F7ACA-DCF3-4F12-86D5-9D12BB4ACA62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22" firstHeaderRow="0" firstDataRow="1" firstDataCol="1"/>
  <pivotFields count="11">
    <pivotField numFmtId="16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dataField="1" numFmtId="170" showAll="0"/>
    <pivotField showAll="0">
      <items count="7">
        <item x="4"/>
        <item x="3"/>
        <item x="1"/>
        <item x="2"/>
        <item x="0"/>
        <item x="5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workbookViewId="0">
      <selection activeCell="P5" sqref="P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10" width="8.6640625" customWidth="1"/>
    <col min="11" max="11" width="38.44140625" customWidth="1"/>
    <col min="12" max="12" width="30.44140625" customWidth="1"/>
    <col min="13" max="13" width="21.5546875" customWidth="1"/>
    <col min="14" max="23" width="8.6640625" customWidth="1"/>
  </cols>
  <sheetData>
    <row r="1" spans="1:23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42</v>
      </c>
      <c r="K1" t="s">
        <v>41</v>
      </c>
      <c r="L1" t="s">
        <v>43</v>
      </c>
      <c r="M1" s="4" t="s">
        <v>44</v>
      </c>
      <c r="N1" s="4" t="s">
        <v>45</v>
      </c>
      <c r="O1" s="4"/>
      <c r="P1" s="4"/>
      <c r="Q1" s="4"/>
      <c r="R1" s="4"/>
      <c r="S1" s="4"/>
      <c r="T1" s="4"/>
      <c r="U1" s="4"/>
      <c r="V1" s="4"/>
      <c r="W1" s="4"/>
    </row>
    <row r="2" spans="1:23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>
        <f>VLOOKUP(A2,Лист2!$A$1:$E$505, 3, 0)</f>
        <v>37</v>
      </c>
      <c r="F2" s="7">
        <f>VLOOKUP(A2,Лист2!$A$1:$E$505, 4, 0)</f>
        <v>5215</v>
      </c>
      <c r="G2" s="7">
        <f>VLOOKUP(A2,Лист2!$A$1:$E$505, 5, 0)</f>
        <v>4848</v>
      </c>
      <c r="H2" s="14">
        <f>IF(E2&gt;0, C2 / E2, 0)</f>
        <v>214.70270270270271</v>
      </c>
      <c r="I2">
        <f>WEEKNUM(A2,2)</f>
        <v>22</v>
      </c>
      <c r="J2">
        <f>MAX(I:I)</f>
        <v>23</v>
      </c>
      <c r="K2" s="18">
        <f>SUMIFS($C:$C,$B:$B,B2,$I:$I,$J$2)</f>
        <v>7816.5</v>
      </c>
      <c r="L2">
        <f>SUMIFS($E:$E,$B:$B,B2,$I:$I,$J$2)</f>
        <v>37</v>
      </c>
      <c r="M2" t="str" cm="1">
        <f t="array" ref="M2:M19">_xlfn.UNIQUE(B2:B505)</f>
        <v>Самара</v>
      </c>
      <c r="N2" s="19">
        <f>K2/ SUM(K2:K505)</f>
        <v>1.6783027595696832E-4</v>
      </c>
    </row>
    <row r="3" spans="1:23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>
        <f>VLOOKUP(A3,Лист2!$A$1:$E$505, 3, 0)</f>
        <v>37</v>
      </c>
      <c r="F3" s="7">
        <f>VLOOKUP(A3,Лист2!$A$1:$E$505, 4, 0)</f>
        <v>6645</v>
      </c>
      <c r="G3" s="7">
        <f>VLOOKUP(A3,Лист2!$A$1:$E$505, 5, 0)</f>
        <v>6122</v>
      </c>
      <c r="H3" s="14">
        <f t="shared" ref="H3:H66" si="0">IF(E3&gt;0, C3 / E3, 0)</f>
        <v>271.05405405405406</v>
      </c>
      <c r="I3">
        <f t="shared" ref="I3:I66" si="1">WEEKNUM(A3,2)</f>
        <v>22</v>
      </c>
      <c r="K3" s="18">
        <f t="shared" ref="K3:K66" si="2">SUMIFS($C:$C,$B:$B,B3,$I:$I,$J$2)</f>
        <v>7816.5</v>
      </c>
      <c r="L3">
        <f t="shared" ref="L3:L66" si="3">SUMIFS($E:$E,$B:$B,B3,$I:$I,$J$2)</f>
        <v>37</v>
      </c>
      <c r="M3" t="str">
        <v>Кемерово</v>
      </c>
      <c r="N3" s="19">
        <f t="shared" ref="N3:N66" si="4">K3/ SUM(K3:K506)</f>
        <v>1.6785844768656529E-4</v>
      </c>
    </row>
    <row r="4" spans="1:23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>
        <f>VLOOKUP(A4,Лист2!$A$1:$E$505, 3, 0)</f>
        <v>37</v>
      </c>
      <c r="F4" s="7">
        <f>VLOOKUP(A4,Лист2!$A$1:$E$505, 4, 0)</f>
        <v>4840</v>
      </c>
      <c r="G4" s="7">
        <f>VLOOKUP(A4,Лист2!$A$1:$E$505, 5, 0)</f>
        <v>4475</v>
      </c>
      <c r="H4" s="14">
        <f t="shared" si="0"/>
        <v>230.71621621621622</v>
      </c>
      <c r="I4">
        <f t="shared" si="1"/>
        <v>22</v>
      </c>
      <c r="K4" s="18">
        <f t="shared" si="2"/>
        <v>7816.5</v>
      </c>
      <c r="L4">
        <f t="shared" si="3"/>
        <v>37</v>
      </c>
      <c r="M4" t="str">
        <v>Екатеринбург</v>
      </c>
      <c r="N4" s="19">
        <f t="shared" si="4"/>
        <v>1.6788662887547563E-4</v>
      </c>
    </row>
    <row r="5" spans="1:23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>
        <f>VLOOKUP(A5,Лист2!$A$1:$E$505, 3, 0)</f>
        <v>36</v>
      </c>
      <c r="F5" s="7">
        <f>VLOOKUP(A5,Лист2!$A$1:$E$505, 4, 0)</f>
        <v>5286</v>
      </c>
      <c r="G5" s="7">
        <f>VLOOKUP(A5,Лист2!$A$1:$E$505, 5, 0)</f>
        <v>4867</v>
      </c>
      <c r="H5" s="14">
        <f t="shared" si="0"/>
        <v>1081.875</v>
      </c>
      <c r="I5">
        <f t="shared" si="1"/>
        <v>20</v>
      </c>
      <c r="K5" s="18">
        <f t="shared" si="2"/>
        <v>31947</v>
      </c>
      <c r="L5">
        <f t="shared" si="3"/>
        <v>37</v>
      </c>
      <c r="M5" t="str">
        <v>Тольятти</v>
      </c>
      <c r="N5" s="19">
        <f t="shared" si="4"/>
        <v>6.8628858689641858E-4</v>
      </c>
    </row>
    <row r="6" spans="1:23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>
        <f>VLOOKUP(A6,Лист2!$A$1:$E$505, 3, 0)</f>
        <v>36</v>
      </c>
      <c r="F6" s="7">
        <f>VLOOKUP(A6,Лист2!$A$1:$E$505, 4, 0)</f>
        <v>5094</v>
      </c>
      <c r="G6" s="7">
        <f>VLOOKUP(A6,Лист2!$A$1:$E$505, 5, 0)</f>
        <v>4716</v>
      </c>
      <c r="H6" s="14">
        <f t="shared" si="0"/>
        <v>884.5</v>
      </c>
      <c r="I6">
        <f t="shared" si="1"/>
        <v>21</v>
      </c>
      <c r="K6" s="18">
        <f t="shared" si="2"/>
        <v>31947</v>
      </c>
      <c r="L6">
        <f t="shared" si="3"/>
        <v>37</v>
      </c>
      <c r="M6" t="str">
        <v>Нижний Новгород</v>
      </c>
      <c r="N6" s="19">
        <f t="shared" si="4"/>
        <v>6.8675990237935961E-4</v>
      </c>
    </row>
    <row r="7" spans="1:23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>
        <f>VLOOKUP(A7,Лист2!$A$1:$E$505, 3, 0)</f>
        <v>36</v>
      </c>
      <c r="F7" s="7">
        <f>VLOOKUP(A7,Лист2!$A$1:$E$505, 4, 0)</f>
        <v>4918</v>
      </c>
      <c r="G7" s="7">
        <f>VLOOKUP(A7,Лист2!$A$1:$E$505, 5, 0)</f>
        <v>4554</v>
      </c>
      <c r="H7" s="14">
        <f t="shared" si="0"/>
        <v>889.54166666666663</v>
      </c>
      <c r="I7">
        <f t="shared" si="1"/>
        <v>20</v>
      </c>
      <c r="K7" s="18">
        <f t="shared" si="2"/>
        <v>31947</v>
      </c>
      <c r="L7">
        <f t="shared" si="3"/>
        <v>37</v>
      </c>
      <c r="M7" t="str">
        <v>Санкт-Петербург Юг</v>
      </c>
      <c r="N7" s="19">
        <f t="shared" si="4"/>
        <v>6.8723186566833796E-4</v>
      </c>
    </row>
    <row r="8" spans="1:23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>
        <f>VLOOKUP(A8,Лист2!$A$1:$E$505, 3, 0)</f>
        <v>36</v>
      </c>
      <c r="F8" s="7">
        <f>VLOOKUP(A8,Лист2!$A$1:$E$505, 4, 0)</f>
        <v>5413</v>
      </c>
      <c r="G8" s="7">
        <f>VLOOKUP(A8,Лист2!$A$1:$E$505, 5, 0)</f>
        <v>4959</v>
      </c>
      <c r="H8" s="14">
        <f t="shared" si="0"/>
        <v>865.20833333333337</v>
      </c>
      <c r="I8">
        <f t="shared" si="1"/>
        <v>19</v>
      </c>
      <c r="K8" s="18">
        <f t="shared" si="2"/>
        <v>31947</v>
      </c>
      <c r="L8">
        <f t="shared" si="3"/>
        <v>37</v>
      </c>
      <c r="M8" t="str">
        <v>Санкт-Петербург Север</v>
      </c>
      <c r="N8" s="19">
        <f t="shared" si="4"/>
        <v>6.8770447809985097E-4</v>
      </c>
    </row>
    <row r="9" spans="1:23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>
        <f>VLOOKUP(A9,Лист2!$A$1:$E$505, 3, 0)</f>
        <v>36</v>
      </c>
      <c r="F9" s="7">
        <f>VLOOKUP(A9,Лист2!$A$1:$E$505, 4, 0)</f>
        <v>4508</v>
      </c>
      <c r="G9" s="7">
        <f>VLOOKUP(A9,Лист2!$A$1:$E$505, 5, 0)</f>
        <v>4149</v>
      </c>
      <c r="H9" s="14">
        <f t="shared" si="0"/>
        <v>710.16666666666663</v>
      </c>
      <c r="I9">
        <f t="shared" si="1"/>
        <v>19</v>
      </c>
      <c r="K9" s="18">
        <f t="shared" si="2"/>
        <v>31947</v>
      </c>
      <c r="L9">
        <f t="shared" si="3"/>
        <v>37</v>
      </c>
      <c r="M9" t="str">
        <v>Волгоград</v>
      </c>
      <c r="N9" s="19">
        <f t="shared" si="4"/>
        <v>6.8817774101407507E-4</v>
      </c>
    </row>
    <row r="10" spans="1:23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>
        <f>VLOOKUP(A10,Лист2!$A$1:$E$505, 3, 0)</f>
        <v>36</v>
      </c>
      <c r="F10" s="7">
        <f>VLOOKUP(A10,Лист2!$A$1:$E$505, 4, 0)</f>
        <v>4937</v>
      </c>
      <c r="G10" s="7">
        <f>VLOOKUP(A10,Лист2!$A$1:$E$505, 5, 0)</f>
        <v>4561</v>
      </c>
      <c r="H10" s="14">
        <f t="shared" si="0"/>
        <v>814.41666666666663</v>
      </c>
      <c r="I10">
        <f t="shared" si="1"/>
        <v>18</v>
      </c>
      <c r="K10" s="18">
        <f t="shared" si="2"/>
        <v>31947</v>
      </c>
      <c r="L10">
        <f t="shared" si="3"/>
        <v>37</v>
      </c>
      <c r="M10" t="str">
        <v>Казань</v>
      </c>
      <c r="N10" s="19">
        <f t="shared" si="4"/>
        <v>6.88651655754878E-4</v>
      </c>
    </row>
    <row r="11" spans="1:23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>
        <f>VLOOKUP(A11,Лист2!$A$1:$E$505, 3, 0)</f>
        <v>36</v>
      </c>
      <c r="F11" s="7">
        <f>VLOOKUP(A11,Лист2!$A$1:$E$505, 4, 0)</f>
        <v>3442</v>
      </c>
      <c r="G11" s="7">
        <f>VLOOKUP(A11,Лист2!$A$1:$E$505, 5, 0)</f>
        <v>3147</v>
      </c>
      <c r="H11" s="14">
        <f t="shared" si="0"/>
        <v>806.41666666666663</v>
      </c>
      <c r="I11">
        <f t="shared" si="1"/>
        <v>18</v>
      </c>
      <c r="K11" s="18">
        <f t="shared" si="2"/>
        <v>31947</v>
      </c>
      <c r="L11">
        <f t="shared" si="3"/>
        <v>37</v>
      </c>
      <c r="M11" t="str">
        <v>Пермь</v>
      </c>
      <c r="N11" s="19">
        <f t="shared" si="4"/>
        <v>6.8912622366983241E-4</v>
      </c>
    </row>
    <row r="12" spans="1:23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>
        <f>VLOOKUP(A12,Лист2!$A$1:$E$505, 3, 0)</f>
        <v>36</v>
      </c>
      <c r="F12" s="7">
        <f>VLOOKUP(A12,Лист2!$A$1:$E$505, 4, 0)</f>
        <v>4770</v>
      </c>
      <c r="G12" s="7">
        <f>VLOOKUP(A12,Лист2!$A$1:$E$505, 5, 0)</f>
        <v>4424</v>
      </c>
      <c r="H12" s="14">
        <f t="shared" si="0"/>
        <v>928.41666666666663</v>
      </c>
      <c r="I12">
        <f t="shared" si="1"/>
        <v>22</v>
      </c>
      <c r="K12" s="18">
        <f t="shared" si="2"/>
        <v>31947</v>
      </c>
      <c r="L12">
        <f t="shared" si="3"/>
        <v>37</v>
      </c>
      <c r="M12" t="str">
        <v>Ростов-на-Дону</v>
      </c>
      <c r="N12" s="19">
        <f t="shared" si="4"/>
        <v>6.8960144611022762E-4</v>
      </c>
    </row>
    <row r="13" spans="1:23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>
        <f>VLOOKUP(A13,Лист2!$A$1:$E$505, 3, 0)</f>
        <v>36</v>
      </c>
      <c r="F13" s="7">
        <f>VLOOKUP(A13,Лист2!$A$1:$E$505, 4, 0)</f>
        <v>5457</v>
      </c>
      <c r="G13" s="7">
        <f>VLOOKUP(A13,Лист2!$A$1:$E$505, 5, 0)</f>
        <v>4916</v>
      </c>
      <c r="H13" s="14">
        <f t="shared" si="0"/>
        <v>902.41666666666663</v>
      </c>
      <c r="I13">
        <f t="shared" si="1"/>
        <v>18</v>
      </c>
      <c r="K13" s="18">
        <f t="shared" si="2"/>
        <v>31947</v>
      </c>
      <c r="L13">
        <f t="shared" si="3"/>
        <v>37</v>
      </c>
      <c r="M13" t="str">
        <v>Краснодар</v>
      </c>
      <c r="N13" s="19">
        <f t="shared" si="4"/>
        <v>6.9007732443108311E-4</v>
      </c>
    </row>
    <row r="14" spans="1:23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>
        <f>VLOOKUP(A14,Лист2!$A$1:$E$505, 3, 0)</f>
        <v>36</v>
      </c>
      <c r="F14" s="7">
        <f>VLOOKUP(A14,Лист2!$A$1:$E$505, 4, 0)</f>
        <v>4418</v>
      </c>
      <c r="G14" s="7">
        <f>VLOOKUP(A14,Лист2!$A$1:$E$505, 5, 0)</f>
        <v>4088</v>
      </c>
      <c r="H14" s="14">
        <f t="shared" si="0"/>
        <v>783.875</v>
      </c>
      <c r="I14">
        <f t="shared" si="1"/>
        <v>20</v>
      </c>
      <c r="K14" s="18">
        <f t="shared" si="2"/>
        <v>31947</v>
      </c>
      <c r="L14">
        <f t="shared" si="3"/>
        <v>37</v>
      </c>
      <c r="M14" t="str">
        <v>Москва Запад</v>
      </c>
      <c r="N14" s="19">
        <f t="shared" si="4"/>
        <v>6.905538599911614E-4</v>
      </c>
    </row>
    <row r="15" spans="1:23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>
        <f>VLOOKUP(A15,Лист2!$A$1:$E$505, 3, 0)</f>
        <v>36</v>
      </c>
      <c r="F15" s="7">
        <f>VLOOKUP(A15,Лист2!$A$1:$E$505, 4, 0)</f>
        <v>4816</v>
      </c>
      <c r="G15" s="7">
        <f>VLOOKUP(A15,Лист2!$A$1:$E$505, 5, 0)</f>
        <v>4452</v>
      </c>
      <c r="H15" s="14">
        <f t="shared" si="0"/>
        <v>868.66666666666663</v>
      </c>
      <c r="I15">
        <f t="shared" si="1"/>
        <v>21</v>
      </c>
      <c r="K15" s="18">
        <f t="shared" si="2"/>
        <v>31947</v>
      </c>
      <c r="L15">
        <f t="shared" si="3"/>
        <v>37</v>
      </c>
      <c r="M15" t="str">
        <v>Москва Восток</v>
      </c>
      <c r="N15" s="19">
        <f t="shared" si="4"/>
        <v>6.9103105415298043E-4</v>
      </c>
    </row>
    <row r="16" spans="1:23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>
        <f>VLOOKUP(A16,Лист2!$A$1:$E$505, 3, 0)</f>
        <v>36</v>
      </c>
      <c r="F16" s="7">
        <f>VLOOKUP(A16,Лист2!$A$1:$E$505, 4, 0)</f>
        <v>5914</v>
      </c>
      <c r="G16" s="7">
        <f>VLOOKUP(A16,Лист2!$A$1:$E$505, 5, 0)</f>
        <v>5384</v>
      </c>
      <c r="H16" s="14">
        <f t="shared" si="0"/>
        <v>946.58333333333337</v>
      </c>
      <c r="I16">
        <f t="shared" si="1"/>
        <v>21</v>
      </c>
      <c r="K16" s="18">
        <f t="shared" si="2"/>
        <v>31947</v>
      </c>
      <c r="L16">
        <f t="shared" si="3"/>
        <v>37</v>
      </c>
      <c r="M16" t="str">
        <v>Новосибирск</v>
      </c>
      <c r="N16" s="19">
        <f t="shared" si="4"/>
        <v>6.9150890828282739E-4</v>
      </c>
    </row>
    <row r="17" spans="1:14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>
        <f>VLOOKUP(A17,Лист2!$A$1:$E$505, 3, 0)</f>
        <v>36</v>
      </c>
      <c r="F17" s="7">
        <f>VLOOKUP(A17,Лист2!$A$1:$E$505, 4, 0)</f>
        <v>4575</v>
      </c>
      <c r="G17" s="7">
        <f>VLOOKUP(A17,Лист2!$A$1:$E$505, 5, 0)</f>
        <v>4206</v>
      </c>
      <c r="H17" s="14">
        <f t="shared" si="0"/>
        <v>876.83333333333337</v>
      </c>
      <c r="I17">
        <f t="shared" si="1"/>
        <v>19</v>
      </c>
      <c r="K17" s="18">
        <f t="shared" si="2"/>
        <v>31947</v>
      </c>
      <c r="L17">
        <f t="shared" si="3"/>
        <v>37</v>
      </c>
      <c r="M17" t="str">
        <v>Тюмень</v>
      </c>
      <c r="N17" s="19">
        <f t="shared" si="4"/>
        <v>6.9198742375077072E-4</v>
      </c>
    </row>
    <row r="18" spans="1:14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>
        <f>VLOOKUP(A18,Лист2!$A$1:$E$505, 3, 0)</f>
        <v>36</v>
      </c>
      <c r="F18" s="7">
        <f>VLOOKUP(A18,Лист2!$A$1:$E$505, 4, 0)</f>
        <v>4923</v>
      </c>
      <c r="G18" s="7">
        <f>VLOOKUP(A18,Лист2!$A$1:$E$505, 5, 0)</f>
        <v>4560</v>
      </c>
      <c r="H18" s="14">
        <f t="shared" si="0"/>
        <v>748.33333333333337</v>
      </c>
      <c r="I18">
        <f t="shared" si="1"/>
        <v>18</v>
      </c>
      <c r="K18" s="18">
        <f t="shared" si="2"/>
        <v>31947</v>
      </c>
      <c r="L18">
        <f t="shared" si="3"/>
        <v>37</v>
      </c>
      <c r="M18" t="str">
        <v>Томск</v>
      </c>
      <c r="N18" s="19">
        <f t="shared" si="4"/>
        <v>6.9246660193067412E-4</v>
      </c>
    </row>
    <row r="19" spans="1:14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>
        <f>VLOOKUP(A19,Лист2!$A$1:$E$505, 3, 0)</f>
        <v>36</v>
      </c>
      <c r="F19" s="7">
        <f>VLOOKUP(A19,Лист2!$A$1:$E$505, 4, 0)</f>
        <v>4967</v>
      </c>
      <c r="G19" s="7">
        <f>VLOOKUP(A19,Лист2!$A$1:$E$505, 5, 0)</f>
        <v>4583</v>
      </c>
      <c r="H19" s="14">
        <f t="shared" si="0"/>
        <v>812.25</v>
      </c>
      <c r="I19">
        <f t="shared" si="1"/>
        <v>20</v>
      </c>
      <c r="K19" s="18">
        <f t="shared" si="2"/>
        <v>31947</v>
      </c>
      <c r="L19">
        <f t="shared" si="3"/>
        <v>37</v>
      </c>
      <c r="M19" t="str">
        <v>Уфа</v>
      </c>
      <c r="N19" s="19">
        <f t="shared" si="4"/>
        <v>6.9294644420020944E-4</v>
      </c>
    </row>
    <row r="20" spans="1:14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>
        <f>VLOOKUP(A20,Лист2!$A$1:$E$505, 3, 0)</f>
        <v>36</v>
      </c>
      <c r="F20" s="7">
        <f>VLOOKUP(A20,Лист2!$A$1:$E$505, 4, 0)</f>
        <v>4751</v>
      </c>
      <c r="G20" s="7">
        <f>VLOOKUP(A20,Лист2!$A$1:$E$505, 5, 0)</f>
        <v>4370</v>
      </c>
      <c r="H20" s="14">
        <f t="shared" si="0"/>
        <v>724.5</v>
      </c>
      <c r="I20">
        <f t="shared" si="1"/>
        <v>18</v>
      </c>
      <c r="K20" s="18">
        <f t="shared" si="2"/>
        <v>31947</v>
      </c>
      <c r="L20">
        <f t="shared" si="3"/>
        <v>37</v>
      </c>
      <c r="N20" s="19">
        <f t="shared" si="4"/>
        <v>6.9342695194086936E-4</v>
      </c>
    </row>
    <row r="21" spans="1:14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>
        <f>VLOOKUP(A21,Лист2!$A$1:$E$505, 3, 0)</f>
        <v>36</v>
      </c>
      <c r="F21" s="7">
        <f>VLOOKUP(A21,Лист2!$A$1:$E$505, 4, 0)</f>
        <v>4384</v>
      </c>
      <c r="G21" s="7">
        <f>VLOOKUP(A21,Лист2!$A$1:$E$505, 5, 0)</f>
        <v>4025</v>
      </c>
      <c r="H21" s="14">
        <f t="shared" si="0"/>
        <v>903.08333333333337</v>
      </c>
      <c r="I21">
        <f t="shared" si="1"/>
        <v>19</v>
      </c>
      <c r="K21" s="18">
        <f t="shared" si="2"/>
        <v>31947</v>
      </c>
      <c r="L21">
        <f t="shared" si="3"/>
        <v>37</v>
      </c>
      <c r="N21" s="19">
        <f t="shared" si="4"/>
        <v>6.9390812653798162E-4</v>
      </c>
    </row>
    <row r="22" spans="1:14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>
        <f>VLOOKUP(A22,Лист2!$A$1:$E$505, 3, 0)</f>
        <v>36</v>
      </c>
      <c r="F22" s="7">
        <f>VLOOKUP(A22,Лист2!$A$1:$E$505, 4, 0)</f>
        <v>5651</v>
      </c>
      <c r="G22" s="7">
        <f>VLOOKUP(A22,Лист2!$A$1:$E$505, 5, 0)</f>
        <v>5212</v>
      </c>
      <c r="H22" s="14">
        <f t="shared" si="0"/>
        <v>1186.2083333333333</v>
      </c>
      <c r="I22">
        <f t="shared" si="1"/>
        <v>21</v>
      </c>
      <c r="K22" s="18">
        <f t="shared" si="2"/>
        <v>31947</v>
      </c>
      <c r="L22">
        <f t="shared" si="3"/>
        <v>37</v>
      </c>
      <c r="N22" s="19">
        <f t="shared" si="4"/>
        <v>6.9438996938072143E-4</v>
      </c>
    </row>
    <row r="23" spans="1:14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>
        <f>VLOOKUP(A23,Лист2!$A$1:$E$505, 3, 0)</f>
        <v>36</v>
      </c>
      <c r="F23" s="7">
        <f>VLOOKUP(A23,Лист2!$A$1:$E$505, 4, 0)</f>
        <v>4641</v>
      </c>
      <c r="G23" s="7">
        <f>VLOOKUP(A23,Лист2!$A$1:$E$505, 5, 0)</f>
        <v>4274</v>
      </c>
      <c r="H23" s="14">
        <f t="shared" si="0"/>
        <v>988.66666666666663</v>
      </c>
      <c r="I23">
        <f t="shared" si="1"/>
        <v>22</v>
      </c>
      <c r="K23" s="18">
        <f t="shared" si="2"/>
        <v>31947</v>
      </c>
      <c r="L23">
        <f t="shared" si="3"/>
        <v>37</v>
      </c>
      <c r="N23" s="19">
        <f t="shared" si="4"/>
        <v>6.948724818621251E-4</v>
      </c>
    </row>
    <row r="24" spans="1:14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>
        <f>VLOOKUP(A24,Лист2!$A$1:$E$505, 3, 0)</f>
        <v>36</v>
      </c>
      <c r="F24" s="7">
        <f>VLOOKUP(A24,Лист2!$A$1:$E$505, 4, 0)</f>
        <v>5143</v>
      </c>
      <c r="G24" s="7">
        <f>VLOOKUP(A24,Лист2!$A$1:$E$505, 5, 0)</f>
        <v>4715</v>
      </c>
      <c r="H24" s="14">
        <f t="shared" si="0"/>
        <v>845.70833333333337</v>
      </c>
      <c r="I24">
        <f t="shared" si="1"/>
        <v>18</v>
      </c>
      <c r="K24" s="18">
        <f t="shared" si="2"/>
        <v>31947</v>
      </c>
      <c r="L24">
        <f t="shared" si="3"/>
        <v>37</v>
      </c>
      <c r="N24" s="19">
        <f t="shared" si="4"/>
        <v>6.9535566537910396E-4</v>
      </c>
    </row>
    <row r="25" spans="1:14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>
        <f>VLOOKUP(A25,Лист2!$A$1:$E$505, 3, 0)</f>
        <v>36</v>
      </c>
      <c r="F25" s="7">
        <f>VLOOKUP(A25,Лист2!$A$1:$E$505, 4, 0)</f>
        <v>5746</v>
      </c>
      <c r="G25" s="7">
        <f>VLOOKUP(A25,Лист2!$A$1:$E$505, 5, 0)</f>
        <v>5277</v>
      </c>
      <c r="H25" s="14">
        <f t="shared" si="0"/>
        <v>1017.2083333333334</v>
      </c>
      <c r="I25">
        <f t="shared" si="1"/>
        <v>19</v>
      </c>
      <c r="K25" s="18">
        <f t="shared" si="2"/>
        <v>31947</v>
      </c>
      <c r="L25">
        <f t="shared" si="3"/>
        <v>37</v>
      </c>
      <c r="N25" s="19">
        <f t="shared" si="4"/>
        <v>6.958395213324572E-4</v>
      </c>
    </row>
    <row r="26" spans="1:14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>
        <f>VLOOKUP(A26,Лист2!$A$1:$E$505, 3, 0)</f>
        <v>36</v>
      </c>
      <c r="F26" s="7">
        <f>VLOOKUP(A26,Лист2!$A$1:$E$505, 4, 0)</f>
        <v>4199</v>
      </c>
      <c r="G26" s="7">
        <f>VLOOKUP(A26,Лист2!$A$1:$E$505, 5, 0)</f>
        <v>3867</v>
      </c>
      <c r="H26" s="14">
        <f t="shared" si="0"/>
        <v>816.91666666666663</v>
      </c>
      <c r="I26">
        <f t="shared" si="1"/>
        <v>19</v>
      </c>
      <c r="K26" s="18">
        <f t="shared" si="2"/>
        <v>31947</v>
      </c>
      <c r="L26">
        <f t="shared" si="3"/>
        <v>37</v>
      </c>
      <c r="N26" s="19">
        <f t="shared" si="4"/>
        <v>6.9632405112688561E-4</v>
      </c>
    </row>
    <row r="27" spans="1:14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>
        <f>VLOOKUP(A27,Лист2!$A$1:$E$505, 3, 0)</f>
        <v>36</v>
      </c>
      <c r="F27" s="7">
        <f>VLOOKUP(A27,Лист2!$A$1:$E$505, 4, 0)</f>
        <v>4826</v>
      </c>
      <c r="G27" s="7">
        <f>VLOOKUP(A27,Лист2!$A$1:$E$505, 5, 0)</f>
        <v>4426</v>
      </c>
      <c r="H27" s="14">
        <f t="shared" si="0"/>
        <v>750.5</v>
      </c>
      <c r="I27">
        <f t="shared" si="1"/>
        <v>19</v>
      </c>
      <c r="K27" s="18">
        <f t="shared" si="2"/>
        <v>31947</v>
      </c>
      <c r="L27">
        <f t="shared" si="3"/>
        <v>37</v>
      </c>
      <c r="N27" s="19">
        <f t="shared" si="4"/>
        <v>6.9680925617100536E-4</v>
      </c>
    </row>
    <row r="28" spans="1:14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>
        <f>VLOOKUP(A28,Лист2!$A$1:$E$505, 3, 0)</f>
        <v>36</v>
      </c>
      <c r="F28" s="7">
        <f>VLOOKUP(A28,Лист2!$A$1:$E$505, 4, 0)</f>
        <v>4915</v>
      </c>
      <c r="G28" s="7">
        <f>VLOOKUP(A28,Лист2!$A$1:$E$505, 5, 0)</f>
        <v>4562</v>
      </c>
      <c r="H28" s="14">
        <f t="shared" si="0"/>
        <v>952.875</v>
      </c>
      <c r="I28">
        <f t="shared" si="1"/>
        <v>21</v>
      </c>
      <c r="K28" s="18">
        <f t="shared" si="2"/>
        <v>31947</v>
      </c>
      <c r="L28">
        <f t="shared" si="3"/>
        <v>37</v>
      </c>
      <c r="N28" s="19">
        <f t="shared" si="4"/>
        <v>6.9729513787736134E-4</v>
      </c>
    </row>
    <row r="29" spans="1:14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>
        <f>VLOOKUP(A29,Лист2!$A$1:$E$505, 3, 0)</f>
        <v>37</v>
      </c>
      <c r="F29" s="7">
        <f>VLOOKUP(A29,Лист2!$A$1:$E$505, 4, 0)</f>
        <v>5215</v>
      </c>
      <c r="G29" s="7">
        <f>VLOOKUP(A29,Лист2!$A$1:$E$505, 5, 0)</f>
        <v>4848</v>
      </c>
      <c r="H29" s="14">
        <f t="shared" si="0"/>
        <v>999.97297297297303</v>
      </c>
      <c r="I29">
        <f t="shared" si="1"/>
        <v>22</v>
      </c>
      <c r="K29" s="18">
        <f t="shared" si="2"/>
        <v>31947</v>
      </c>
      <c r="L29">
        <f t="shared" si="3"/>
        <v>37</v>
      </c>
      <c r="N29" s="19">
        <f t="shared" si="4"/>
        <v>6.9778169766244113E-4</v>
      </c>
    </row>
    <row r="30" spans="1:14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>
        <f>VLOOKUP(A30,Лист2!$A$1:$E$505, 3, 0)</f>
        <v>37</v>
      </c>
      <c r="F30" s="7">
        <f>VLOOKUP(A30,Лист2!$A$1:$E$505, 4, 0)</f>
        <v>6645</v>
      </c>
      <c r="G30" s="7">
        <f>VLOOKUP(A30,Лист2!$A$1:$E$505, 5, 0)</f>
        <v>6122</v>
      </c>
      <c r="H30" s="14">
        <f t="shared" si="0"/>
        <v>1189.2162162162163</v>
      </c>
      <c r="I30">
        <f t="shared" si="1"/>
        <v>22</v>
      </c>
      <c r="K30" s="18">
        <f t="shared" si="2"/>
        <v>31947</v>
      </c>
      <c r="L30">
        <f t="shared" si="3"/>
        <v>37</v>
      </c>
      <c r="N30" s="19">
        <f t="shared" si="4"/>
        <v>6.9826893694668879E-4</v>
      </c>
    </row>
    <row r="31" spans="1:14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>
        <f>VLOOKUP(A31,Лист2!$A$1:$E$505, 3, 0)</f>
        <v>37</v>
      </c>
      <c r="F31" s="7">
        <f>VLOOKUP(A31,Лист2!$A$1:$E$505, 4, 0)</f>
        <v>4840</v>
      </c>
      <c r="G31" s="7">
        <f>VLOOKUP(A31,Лист2!$A$1:$E$505, 5, 0)</f>
        <v>4475</v>
      </c>
      <c r="H31" s="14">
        <f t="shared" si="0"/>
        <v>837.3648648648649</v>
      </c>
      <c r="I31">
        <f t="shared" si="1"/>
        <v>22</v>
      </c>
      <c r="K31" s="18">
        <f t="shared" si="2"/>
        <v>31947</v>
      </c>
      <c r="L31">
        <f t="shared" si="3"/>
        <v>37</v>
      </c>
      <c r="N31" s="19">
        <f t="shared" si="4"/>
        <v>6.9875685715451829E-4</v>
      </c>
    </row>
    <row r="32" spans="1:14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>
        <f>VLOOKUP(A32,Лист2!$A$1:$E$505, 3, 0)</f>
        <v>36</v>
      </c>
      <c r="F32" s="7">
        <f>VLOOKUP(A32,Лист2!$A$1:$E$505, 4, 0)</f>
        <v>5286</v>
      </c>
      <c r="G32" s="7">
        <f>VLOOKUP(A32,Лист2!$A$1:$E$505, 5, 0)</f>
        <v>4867</v>
      </c>
      <c r="H32" s="14">
        <f t="shared" si="0"/>
        <v>2446.2083333333335</v>
      </c>
      <c r="I32">
        <f t="shared" si="1"/>
        <v>20</v>
      </c>
      <c r="K32" s="18">
        <f t="shared" si="2"/>
        <v>77269.5</v>
      </c>
      <c r="L32">
        <f t="shared" si="3"/>
        <v>37</v>
      </c>
      <c r="N32" s="19">
        <f t="shared" si="4"/>
        <v>1.6912494772403121E-3</v>
      </c>
    </row>
    <row r="33" spans="1:14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>
        <f>VLOOKUP(A33,Лист2!$A$1:$E$505, 3, 0)</f>
        <v>36</v>
      </c>
      <c r="F33" s="7">
        <f>VLOOKUP(A33,Лист2!$A$1:$E$505, 4, 0)</f>
        <v>5094</v>
      </c>
      <c r="G33" s="7">
        <f>VLOOKUP(A33,Лист2!$A$1:$E$505, 5, 0)</f>
        <v>4716</v>
      </c>
      <c r="H33" s="14">
        <f t="shared" si="0"/>
        <v>2334</v>
      </c>
      <c r="I33">
        <f t="shared" si="1"/>
        <v>21</v>
      </c>
      <c r="K33" s="18">
        <f t="shared" si="2"/>
        <v>77269.5</v>
      </c>
      <c r="L33">
        <f t="shared" si="3"/>
        <v>37</v>
      </c>
      <c r="N33" s="19">
        <f t="shared" si="4"/>
        <v>1.6941146477527091E-3</v>
      </c>
    </row>
    <row r="34" spans="1:14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>
        <f>VLOOKUP(A34,Лист2!$A$1:$E$505, 3, 0)</f>
        <v>36</v>
      </c>
      <c r="F34" s="7">
        <f>VLOOKUP(A34,Лист2!$A$1:$E$505, 4, 0)</f>
        <v>4918</v>
      </c>
      <c r="G34" s="7">
        <f>VLOOKUP(A34,Лист2!$A$1:$E$505, 5, 0)</f>
        <v>4554</v>
      </c>
      <c r="H34" s="14">
        <f t="shared" si="0"/>
        <v>2168.25</v>
      </c>
      <c r="I34">
        <f t="shared" si="1"/>
        <v>20</v>
      </c>
      <c r="K34" s="18">
        <f t="shared" si="2"/>
        <v>77269.5</v>
      </c>
      <c r="L34">
        <f t="shared" si="3"/>
        <v>37</v>
      </c>
      <c r="N34" s="19">
        <f t="shared" si="4"/>
        <v>1.6969895425939005E-3</v>
      </c>
    </row>
    <row r="35" spans="1:14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>
        <f>VLOOKUP(A35,Лист2!$A$1:$E$505, 3, 0)</f>
        <v>36</v>
      </c>
      <c r="F35" s="7">
        <f>VLOOKUP(A35,Лист2!$A$1:$E$505, 4, 0)</f>
        <v>5413</v>
      </c>
      <c r="G35" s="7">
        <f>VLOOKUP(A35,Лист2!$A$1:$E$505, 5, 0)</f>
        <v>4959</v>
      </c>
      <c r="H35" s="14">
        <f t="shared" si="0"/>
        <v>1936.6666666666667</v>
      </c>
      <c r="I35">
        <f t="shared" si="1"/>
        <v>19</v>
      </c>
      <c r="K35" s="18">
        <f t="shared" si="2"/>
        <v>77269.5</v>
      </c>
      <c r="L35">
        <f t="shared" si="3"/>
        <v>37</v>
      </c>
      <c r="N35" s="19">
        <f t="shared" si="4"/>
        <v>1.6998742113542937E-3</v>
      </c>
    </row>
    <row r="36" spans="1:14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>
        <f>VLOOKUP(A36,Лист2!$A$1:$E$505, 3, 0)</f>
        <v>36</v>
      </c>
      <c r="F36" s="7">
        <f>VLOOKUP(A36,Лист2!$A$1:$E$505, 4, 0)</f>
        <v>4508</v>
      </c>
      <c r="G36" s="7">
        <f>VLOOKUP(A36,Лист2!$A$1:$E$505, 5, 0)</f>
        <v>4149</v>
      </c>
      <c r="H36" s="14">
        <f t="shared" si="0"/>
        <v>2025.7916666666667</v>
      </c>
      <c r="I36">
        <f t="shared" si="1"/>
        <v>19</v>
      </c>
      <c r="K36" s="18">
        <f t="shared" si="2"/>
        <v>77269.5</v>
      </c>
      <c r="L36">
        <f t="shared" si="3"/>
        <v>37</v>
      </c>
      <c r="N36" s="19">
        <f t="shared" si="4"/>
        <v>1.7027687039620602E-3</v>
      </c>
    </row>
    <row r="37" spans="1:14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>
        <f>VLOOKUP(A37,Лист2!$A$1:$E$505, 3, 0)</f>
        <v>36</v>
      </c>
      <c r="F37" s="7">
        <f>VLOOKUP(A37,Лист2!$A$1:$E$505, 4, 0)</f>
        <v>4937</v>
      </c>
      <c r="G37" s="7">
        <f>VLOOKUP(A37,Лист2!$A$1:$E$505, 5, 0)</f>
        <v>4561</v>
      </c>
      <c r="H37" s="14">
        <f t="shared" si="0"/>
        <v>2209.0833333333335</v>
      </c>
      <c r="I37">
        <f t="shared" si="1"/>
        <v>18</v>
      </c>
      <c r="K37" s="18">
        <f t="shared" si="2"/>
        <v>77269.5</v>
      </c>
      <c r="L37">
        <f t="shared" si="3"/>
        <v>37</v>
      </c>
      <c r="N37" s="19">
        <f t="shared" si="4"/>
        <v>1.7056730706860152E-3</v>
      </c>
    </row>
    <row r="38" spans="1:14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>
        <f>VLOOKUP(A38,Лист2!$A$1:$E$505, 3, 0)</f>
        <v>36</v>
      </c>
      <c r="F38" s="7">
        <f>VLOOKUP(A38,Лист2!$A$1:$E$505, 4, 0)</f>
        <v>3442</v>
      </c>
      <c r="G38" s="7">
        <f>VLOOKUP(A38,Лист2!$A$1:$E$505, 5, 0)</f>
        <v>3147</v>
      </c>
      <c r="H38" s="14">
        <f t="shared" si="0"/>
        <v>1679.5416666666667</v>
      </c>
      <c r="I38">
        <f t="shared" si="1"/>
        <v>18</v>
      </c>
      <c r="K38" s="18">
        <f t="shared" si="2"/>
        <v>77269.5</v>
      </c>
      <c r="L38">
        <f t="shared" si="3"/>
        <v>37</v>
      </c>
      <c r="N38" s="19">
        <f t="shared" si="4"/>
        <v>1.7085873621385294E-3</v>
      </c>
    </row>
    <row r="39" spans="1:14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>
        <f>VLOOKUP(A39,Лист2!$A$1:$E$505, 3, 0)</f>
        <v>36</v>
      </c>
      <c r="F39" s="7">
        <f>VLOOKUP(A39,Лист2!$A$1:$E$505, 4, 0)</f>
        <v>4770</v>
      </c>
      <c r="G39" s="7">
        <f>VLOOKUP(A39,Лист2!$A$1:$E$505, 5, 0)</f>
        <v>4424</v>
      </c>
      <c r="H39" s="14">
        <f t="shared" si="0"/>
        <v>2221.5416666666665</v>
      </c>
      <c r="I39">
        <f t="shared" si="1"/>
        <v>22</v>
      </c>
      <c r="K39" s="18">
        <f t="shared" si="2"/>
        <v>77269.5</v>
      </c>
      <c r="L39">
        <f t="shared" si="3"/>
        <v>37</v>
      </c>
      <c r="N39" s="19">
        <f t="shared" si="4"/>
        <v>1.7115116292784676E-3</v>
      </c>
    </row>
    <row r="40" spans="1:14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>
        <f>VLOOKUP(A40,Лист2!$A$1:$E$505, 3, 0)</f>
        <v>36</v>
      </c>
      <c r="F40" s="7">
        <f>VLOOKUP(A40,Лист2!$A$1:$E$505, 4, 0)</f>
        <v>5457</v>
      </c>
      <c r="G40" s="7">
        <f>VLOOKUP(A40,Лист2!$A$1:$E$505, 5, 0)</f>
        <v>4916</v>
      </c>
      <c r="H40" s="14">
        <f t="shared" si="0"/>
        <v>2709.2916666666665</v>
      </c>
      <c r="I40">
        <f t="shared" si="1"/>
        <v>18</v>
      </c>
      <c r="K40" s="18">
        <f t="shared" si="2"/>
        <v>77269.5</v>
      </c>
      <c r="L40">
        <f t="shared" si="3"/>
        <v>37</v>
      </c>
      <c r="N40" s="19">
        <f t="shared" si="4"/>
        <v>1.71444592341416E-3</v>
      </c>
    </row>
    <row r="41" spans="1:14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>
        <f>VLOOKUP(A41,Лист2!$A$1:$E$505, 3, 0)</f>
        <v>36</v>
      </c>
      <c r="F41" s="7">
        <f>VLOOKUP(A41,Лист2!$A$1:$E$505, 4, 0)</f>
        <v>4418</v>
      </c>
      <c r="G41" s="7">
        <f>VLOOKUP(A41,Лист2!$A$1:$E$505, 5, 0)</f>
        <v>4088</v>
      </c>
      <c r="H41" s="14">
        <f t="shared" si="0"/>
        <v>1986.6666666666667</v>
      </c>
      <c r="I41">
        <f t="shared" si="1"/>
        <v>20</v>
      </c>
      <c r="K41" s="18">
        <f t="shared" si="2"/>
        <v>77269.5</v>
      </c>
      <c r="L41">
        <f t="shared" si="3"/>
        <v>37</v>
      </c>
      <c r="N41" s="19">
        <f t="shared" si="4"/>
        <v>1.7173902962064021E-3</v>
      </c>
    </row>
    <row r="42" spans="1:14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>
        <f>VLOOKUP(A42,Лист2!$A$1:$E$505, 3, 0)</f>
        <v>36</v>
      </c>
      <c r="F42" s="7">
        <f>VLOOKUP(A42,Лист2!$A$1:$E$505, 4, 0)</f>
        <v>4816</v>
      </c>
      <c r="G42" s="7">
        <f>VLOOKUP(A42,Лист2!$A$1:$E$505, 5, 0)</f>
        <v>4452</v>
      </c>
      <c r="H42" s="14">
        <f t="shared" si="0"/>
        <v>2207.9166666666665</v>
      </c>
      <c r="I42">
        <f t="shared" si="1"/>
        <v>21</v>
      </c>
      <c r="K42" s="18">
        <f t="shared" si="2"/>
        <v>77269.5</v>
      </c>
      <c r="L42">
        <f t="shared" si="3"/>
        <v>37</v>
      </c>
      <c r="N42" s="19">
        <f t="shared" si="4"/>
        <v>1.720344799671487E-3</v>
      </c>
    </row>
    <row r="43" spans="1:14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>
        <f>VLOOKUP(A43,Лист2!$A$1:$E$505, 3, 0)</f>
        <v>36</v>
      </c>
      <c r="F43" s="7">
        <f>VLOOKUP(A43,Лист2!$A$1:$E$505, 4, 0)</f>
        <v>5914</v>
      </c>
      <c r="G43" s="7">
        <f>VLOOKUP(A43,Лист2!$A$1:$E$505, 5, 0)</f>
        <v>5384</v>
      </c>
      <c r="H43" s="14">
        <f t="shared" si="0"/>
        <v>2592.0416666666665</v>
      </c>
      <c r="I43">
        <f t="shared" si="1"/>
        <v>21</v>
      </c>
      <c r="K43" s="18">
        <f t="shared" si="2"/>
        <v>77269.5</v>
      </c>
      <c r="L43">
        <f t="shared" si="3"/>
        <v>37</v>
      </c>
      <c r="N43" s="19">
        <f t="shared" si="4"/>
        <v>1.7233094861842688E-3</v>
      </c>
    </row>
    <row r="44" spans="1:14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>
        <f>VLOOKUP(A44,Лист2!$A$1:$E$505, 3, 0)</f>
        <v>36</v>
      </c>
      <c r="F44" s="7">
        <f>VLOOKUP(A44,Лист2!$A$1:$E$505, 4, 0)</f>
        <v>4575</v>
      </c>
      <c r="G44" s="7">
        <f>VLOOKUP(A44,Лист2!$A$1:$E$505, 5, 0)</f>
        <v>4206</v>
      </c>
      <c r="H44" s="14">
        <f t="shared" si="0"/>
        <v>2127.375</v>
      </c>
      <c r="I44">
        <f t="shared" si="1"/>
        <v>19</v>
      </c>
      <c r="K44" s="18">
        <f t="shared" si="2"/>
        <v>77269.5</v>
      </c>
      <c r="L44">
        <f t="shared" si="3"/>
        <v>37</v>
      </c>
      <c r="N44" s="19">
        <f t="shared" si="4"/>
        <v>1.7262844084812564E-3</v>
      </c>
    </row>
    <row r="45" spans="1:14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>
        <f>VLOOKUP(A45,Лист2!$A$1:$E$505, 3, 0)</f>
        <v>36</v>
      </c>
      <c r="F45" s="7">
        <f>VLOOKUP(A45,Лист2!$A$1:$E$505, 4, 0)</f>
        <v>4923</v>
      </c>
      <c r="G45" s="7">
        <f>VLOOKUP(A45,Лист2!$A$1:$E$505, 5, 0)</f>
        <v>4560</v>
      </c>
      <c r="H45" s="14">
        <f t="shared" si="0"/>
        <v>2272.9583333333335</v>
      </c>
      <c r="I45">
        <f t="shared" si="1"/>
        <v>18</v>
      </c>
      <c r="K45" s="18">
        <f t="shared" si="2"/>
        <v>77269.5</v>
      </c>
      <c r="L45">
        <f t="shared" si="3"/>
        <v>37</v>
      </c>
      <c r="N45" s="19">
        <f t="shared" si="4"/>
        <v>1.7292696196637423E-3</v>
      </c>
    </row>
    <row r="46" spans="1:14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>
        <f>VLOOKUP(A46,Лист2!$A$1:$E$505, 3, 0)</f>
        <v>36</v>
      </c>
      <c r="F46" s="7">
        <f>VLOOKUP(A46,Лист2!$A$1:$E$505, 4, 0)</f>
        <v>4967</v>
      </c>
      <c r="G46" s="7">
        <f>VLOOKUP(A46,Лист2!$A$1:$E$505, 5, 0)</f>
        <v>4583</v>
      </c>
      <c r="H46" s="14">
        <f t="shared" si="0"/>
        <v>2190.1666666666665</v>
      </c>
      <c r="I46">
        <f t="shared" si="1"/>
        <v>20</v>
      </c>
      <c r="K46" s="18">
        <f t="shared" si="2"/>
        <v>77269.5</v>
      </c>
      <c r="L46">
        <f t="shared" si="3"/>
        <v>37</v>
      </c>
      <c r="N46" s="19">
        <f t="shared" si="4"/>
        <v>1.7322651732009603E-3</v>
      </c>
    </row>
    <row r="47" spans="1:14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>
        <f>VLOOKUP(A47,Лист2!$A$1:$E$505, 3, 0)</f>
        <v>36</v>
      </c>
      <c r="F47" s="7">
        <f>VLOOKUP(A47,Лист2!$A$1:$E$505, 4, 0)</f>
        <v>4751</v>
      </c>
      <c r="G47" s="7">
        <f>VLOOKUP(A47,Лист2!$A$1:$E$505, 5, 0)</f>
        <v>4370</v>
      </c>
      <c r="H47" s="14">
        <f t="shared" si="0"/>
        <v>2146.2083333333335</v>
      </c>
      <c r="I47">
        <f t="shared" si="1"/>
        <v>18</v>
      </c>
      <c r="K47" s="18">
        <f t="shared" si="2"/>
        <v>77269.5</v>
      </c>
      <c r="L47">
        <f t="shared" si="3"/>
        <v>37</v>
      </c>
      <c r="N47" s="19">
        <f t="shared" si="4"/>
        <v>1.7352711229332788E-3</v>
      </c>
    </row>
    <row r="48" spans="1:14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>
        <f>VLOOKUP(A48,Лист2!$A$1:$E$505, 3, 0)</f>
        <v>36</v>
      </c>
      <c r="F48" s="7">
        <f>VLOOKUP(A48,Лист2!$A$1:$E$505, 4, 0)</f>
        <v>4384</v>
      </c>
      <c r="G48" s="7">
        <f>VLOOKUP(A48,Лист2!$A$1:$E$505, 5, 0)</f>
        <v>4025</v>
      </c>
      <c r="H48" s="14">
        <f t="shared" si="0"/>
        <v>1916.5</v>
      </c>
      <c r="I48">
        <f t="shared" si="1"/>
        <v>19</v>
      </c>
      <c r="K48" s="18">
        <f t="shared" si="2"/>
        <v>77269.5</v>
      </c>
      <c r="L48">
        <f t="shared" si="3"/>
        <v>37</v>
      </c>
      <c r="N48" s="19">
        <f t="shared" si="4"/>
        <v>1.738287523075427E-3</v>
      </c>
    </row>
    <row r="49" spans="1:14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>
        <f>VLOOKUP(A49,Лист2!$A$1:$E$505, 3, 0)</f>
        <v>36</v>
      </c>
      <c r="F49" s="7">
        <f>VLOOKUP(A49,Лист2!$A$1:$E$505, 4, 0)</f>
        <v>5651</v>
      </c>
      <c r="G49" s="7">
        <f>VLOOKUP(A49,Лист2!$A$1:$E$505, 5, 0)</f>
        <v>5212</v>
      </c>
      <c r="H49" s="14">
        <f t="shared" si="0"/>
        <v>2858.0416666666665</v>
      </c>
      <c r="I49">
        <f t="shared" si="1"/>
        <v>21</v>
      </c>
      <c r="K49" s="18">
        <f t="shared" si="2"/>
        <v>77269.5</v>
      </c>
      <c r="L49">
        <f t="shared" si="3"/>
        <v>37</v>
      </c>
      <c r="N49" s="19">
        <f t="shared" si="4"/>
        <v>1.7413144282197525E-3</v>
      </c>
    </row>
    <row r="50" spans="1:14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>
        <f>VLOOKUP(A50,Лист2!$A$1:$E$505, 3, 0)</f>
        <v>36</v>
      </c>
      <c r="F50" s="7">
        <f>VLOOKUP(A50,Лист2!$A$1:$E$505, 4, 0)</f>
        <v>4641</v>
      </c>
      <c r="G50" s="7">
        <f>VLOOKUP(A50,Лист2!$A$1:$E$505, 5, 0)</f>
        <v>4274</v>
      </c>
      <c r="H50" s="14">
        <f t="shared" si="0"/>
        <v>2138.875</v>
      </c>
      <c r="I50">
        <f t="shared" si="1"/>
        <v>22</v>
      </c>
      <c r="K50" s="18">
        <f t="shared" si="2"/>
        <v>77269.5</v>
      </c>
      <c r="L50">
        <f t="shared" si="3"/>
        <v>37</v>
      </c>
      <c r="N50" s="19">
        <f t="shared" si="4"/>
        <v>1.744351893339517E-3</v>
      </c>
    </row>
    <row r="51" spans="1:14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>
        <f>VLOOKUP(A51,Лист2!$A$1:$E$505, 3, 0)</f>
        <v>36</v>
      </c>
      <c r="F51" s="7">
        <f>VLOOKUP(A51,Лист2!$A$1:$E$505, 4, 0)</f>
        <v>5143</v>
      </c>
      <c r="G51" s="7">
        <f>VLOOKUP(A51,Лист2!$A$1:$E$505, 5, 0)</f>
        <v>4715</v>
      </c>
      <c r="H51" s="14">
        <f t="shared" si="0"/>
        <v>2154.5833333333335</v>
      </c>
      <c r="I51">
        <f t="shared" si="1"/>
        <v>18</v>
      </c>
      <c r="K51" s="18">
        <f t="shared" si="2"/>
        <v>77269.5</v>
      </c>
      <c r="L51">
        <f t="shared" si="3"/>
        <v>37</v>
      </c>
      <c r="N51" s="19">
        <f t="shared" si="4"/>
        <v>1.747399973792223E-3</v>
      </c>
    </row>
    <row r="52" spans="1:14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>
        <f>VLOOKUP(A52,Лист2!$A$1:$E$505, 3, 0)</f>
        <v>36</v>
      </c>
      <c r="F52" s="7">
        <f>VLOOKUP(A52,Лист2!$A$1:$E$505, 4, 0)</f>
        <v>5746</v>
      </c>
      <c r="G52" s="7">
        <f>VLOOKUP(A52,Лист2!$A$1:$E$505, 5, 0)</f>
        <v>5277</v>
      </c>
      <c r="H52" s="14">
        <f t="shared" si="0"/>
        <v>2337</v>
      </c>
      <c r="I52">
        <f t="shared" si="1"/>
        <v>19</v>
      </c>
      <c r="K52" s="18">
        <f t="shared" si="2"/>
        <v>77269.5</v>
      </c>
      <c r="L52">
        <f t="shared" si="3"/>
        <v>37</v>
      </c>
      <c r="N52" s="19">
        <f t="shared" si="4"/>
        <v>1.7504587253229767E-3</v>
      </c>
    </row>
    <row r="53" spans="1:14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>
        <f>VLOOKUP(A53,Лист2!$A$1:$E$505, 3, 0)</f>
        <v>36</v>
      </c>
      <c r="F53" s="7">
        <f>VLOOKUP(A53,Лист2!$A$1:$E$505, 4, 0)</f>
        <v>4199</v>
      </c>
      <c r="G53" s="7">
        <f>VLOOKUP(A53,Лист2!$A$1:$E$505, 5, 0)</f>
        <v>3867</v>
      </c>
      <c r="H53" s="14">
        <f t="shared" si="0"/>
        <v>1931.7916666666667</v>
      </c>
      <c r="I53">
        <f t="shared" si="1"/>
        <v>19</v>
      </c>
      <c r="K53" s="18">
        <f t="shared" si="2"/>
        <v>77269.5</v>
      </c>
      <c r="L53">
        <f t="shared" si="3"/>
        <v>37</v>
      </c>
      <c r="N53" s="19">
        <f t="shared" si="4"/>
        <v>1.7535282040678872E-3</v>
      </c>
    </row>
    <row r="54" spans="1:14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>
        <f>VLOOKUP(A54,Лист2!$A$1:$E$505, 3, 0)</f>
        <v>36</v>
      </c>
      <c r="F54" s="7">
        <f>VLOOKUP(A54,Лист2!$A$1:$E$505, 4, 0)</f>
        <v>4826</v>
      </c>
      <c r="G54" s="7">
        <f>VLOOKUP(A54,Лист2!$A$1:$E$505, 5, 0)</f>
        <v>4426</v>
      </c>
      <c r="H54" s="14">
        <f t="shared" si="0"/>
        <v>2033.4583333333333</v>
      </c>
      <c r="I54">
        <f t="shared" si="1"/>
        <v>19</v>
      </c>
      <c r="K54" s="18">
        <f t="shared" si="2"/>
        <v>77269.5</v>
      </c>
      <c r="L54">
        <f t="shared" si="3"/>
        <v>37</v>
      </c>
      <c r="N54" s="19">
        <f t="shared" si="4"/>
        <v>1.7566084665575003E-3</v>
      </c>
    </row>
    <row r="55" spans="1:14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>
        <f>VLOOKUP(A55,Лист2!$A$1:$E$505, 3, 0)</f>
        <v>36</v>
      </c>
      <c r="F55" s="7">
        <f>VLOOKUP(A55,Лист2!$A$1:$E$505, 4, 0)</f>
        <v>4915</v>
      </c>
      <c r="G55" s="7">
        <f>VLOOKUP(A55,Лист2!$A$1:$E$505, 5, 0)</f>
        <v>4562</v>
      </c>
      <c r="H55" s="14">
        <f t="shared" si="0"/>
        <v>2129.5416666666665</v>
      </c>
      <c r="I55">
        <f t="shared" si="1"/>
        <v>21</v>
      </c>
      <c r="K55" s="18">
        <f t="shared" si="2"/>
        <v>77269.5</v>
      </c>
      <c r="L55">
        <f t="shared" si="3"/>
        <v>37</v>
      </c>
      <c r="N55" s="19">
        <f t="shared" si="4"/>
        <v>1.7596995697202686E-3</v>
      </c>
    </row>
    <row r="56" spans="1:14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>
        <f>VLOOKUP(A56,Лист2!$A$1:$E$505, 3, 0)</f>
        <v>36</v>
      </c>
      <c r="F56" s="7">
        <f>VLOOKUP(A56,Лист2!$A$1:$E$505, 4, 0)</f>
        <v>5286</v>
      </c>
      <c r="G56" s="7">
        <f>VLOOKUP(A56,Лист2!$A$1:$E$505, 5, 0)</f>
        <v>4867</v>
      </c>
      <c r="H56" s="14">
        <f t="shared" si="0"/>
        <v>396.25</v>
      </c>
      <c r="I56">
        <f t="shared" si="1"/>
        <v>20</v>
      </c>
      <c r="K56" s="18">
        <f t="shared" si="2"/>
        <v>11416.5</v>
      </c>
      <c r="L56">
        <f t="shared" si="3"/>
        <v>37</v>
      </c>
      <c r="N56" s="19">
        <f t="shared" si="4"/>
        <v>2.604523665096926E-4</v>
      </c>
    </row>
    <row r="57" spans="1:14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>
        <f>VLOOKUP(A57,Лист2!$A$1:$E$505, 3, 0)</f>
        <v>36</v>
      </c>
      <c r="F57" s="7">
        <f>VLOOKUP(A57,Лист2!$A$1:$E$505, 4, 0)</f>
        <v>5094</v>
      </c>
      <c r="G57" s="7">
        <f>VLOOKUP(A57,Лист2!$A$1:$E$505, 5, 0)</f>
        <v>4716</v>
      </c>
      <c r="H57" s="14">
        <f t="shared" si="0"/>
        <v>320.16666666666669</v>
      </c>
      <c r="I57">
        <f t="shared" si="1"/>
        <v>21</v>
      </c>
      <c r="K57" s="18">
        <f t="shared" si="2"/>
        <v>11416.5</v>
      </c>
      <c r="L57">
        <f t="shared" si="3"/>
        <v>37</v>
      </c>
      <c r="N57" s="19">
        <f t="shared" si="4"/>
        <v>2.6052021961741554E-4</v>
      </c>
    </row>
    <row r="58" spans="1:14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>
        <f>VLOOKUP(A58,Лист2!$A$1:$E$505, 3, 0)</f>
        <v>36</v>
      </c>
      <c r="F58" s="7">
        <f>VLOOKUP(A58,Лист2!$A$1:$E$505, 4, 0)</f>
        <v>4918</v>
      </c>
      <c r="G58" s="7">
        <f>VLOOKUP(A58,Лист2!$A$1:$E$505, 5, 0)</f>
        <v>4554</v>
      </c>
      <c r="H58" s="14">
        <f t="shared" si="0"/>
        <v>288.95833333333331</v>
      </c>
      <c r="I58">
        <f t="shared" si="1"/>
        <v>20</v>
      </c>
      <c r="K58" s="18">
        <f t="shared" si="2"/>
        <v>11416.5</v>
      </c>
      <c r="L58">
        <f t="shared" si="3"/>
        <v>37</v>
      </c>
      <c r="N58" s="19">
        <f t="shared" si="4"/>
        <v>2.6058810808856449E-4</v>
      </c>
    </row>
    <row r="59" spans="1:14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>
        <f>VLOOKUP(A59,Лист2!$A$1:$E$505, 3, 0)</f>
        <v>36</v>
      </c>
      <c r="F59" s="7">
        <f>VLOOKUP(A59,Лист2!$A$1:$E$505, 4, 0)</f>
        <v>5413</v>
      </c>
      <c r="G59" s="7">
        <f>VLOOKUP(A59,Лист2!$A$1:$E$505, 5, 0)</f>
        <v>4959</v>
      </c>
      <c r="H59" s="14">
        <f t="shared" si="0"/>
        <v>367.125</v>
      </c>
      <c r="I59">
        <f t="shared" si="1"/>
        <v>19</v>
      </c>
      <c r="K59" s="18">
        <f t="shared" si="2"/>
        <v>11416.5</v>
      </c>
      <c r="L59">
        <f t="shared" si="3"/>
        <v>37</v>
      </c>
      <c r="N59" s="19">
        <f t="shared" si="4"/>
        <v>2.6065603195079244E-4</v>
      </c>
    </row>
    <row r="60" spans="1:14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>
        <f>VLOOKUP(A60,Лист2!$A$1:$E$505, 3, 0)</f>
        <v>36</v>
      </c>
      <c r="F60" s="7">
        <f>VLOOKUP(A60,Лист2!$A$1:$E$505, 4, 0)</f>
        <v>4508</v>
      </c>
      <c r="G60" s="7">
        <f>VLOOKUP(A60,Лист2!$A$1:$E$505, 5, 0)</f>
        <v>4149</v>
      </c>
      <c r="H60" s="14">
        <f t="shared" si="0"/>
        <v>253.625</v>
      </c>
      <c r="I60">
        <f t="shared" si="1"/>
        <v>19</v>
      </c>
      <c r="K60" s="18">
        <f t="shared" si="2"/>
        <v>11416.5</v>
      </c>
      <c r="L60">
        <f t="shared" si="3"/>
        <v>37</v>
      </c>
      <c r="N60" s="19">
        <f t="shared" si="4"/>
        <v>2.6072399123178126E-4</v>
      </c>
    </row>
    <row r="61" spans="1:14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>
        <f>VLOOKUP(A61,Лист2!$A$1:$E$505, 3, 0)</f>
        <v>36</v>
      </c>
      <c r="F61" s="7">
        <f>VLOOKUP(A61,Лист2!$A$1:$E$505, 4, 0)</f>
        <v>4937</v>
      </c>
      <c r="G61" s="7">
        <f>VLOOKUP(A61,Лист2!$A$1:$E$505, 5, 0)</f>
        <v>4561</v>
      </c>
      <c r="H61" s="14">
        <f t="shared" si="0"/>
        <v>301.125</v>
      </c>
      <c r="I61">
        <f t="shared" si="1"/>
        <v>18</v>
      </c>
      <c r="K61" s="18">
        <f t="shared" si="2"/>
        <v>11416.5</v>
      </c>
      <c r="L61">
        <f t="shared" si="3"/>
        <v>37</v>
      </c>
      <c r="N61" s="19">
        <f t="shared" si="4"/>
        <v>2.6079198595924184E-4</v>
      </c>
    </row>
    <row r="62" spans="1:14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>
        <f>VLOOKUP(A62,Лист2!$A$1:$E$505, 3, 0)</f>
        <v>36</v>
      </c>
      <c r="F62" s="7">
        <f>VLOOKUP(A62,Лист2!$A$1:$E$505, 4, 0)</f>
        <v>3442</v>
      </c>
      <c r="G62" s="7">
        <f>VLOOKUP(A62,Лист2!$A$1:$E$505, 5, 0)</f>
        <v>3147</v>
      </c>
      <c r="H62" s="14">
        <f t="shared" si="0"/>
        <v>218.5</v>
      </c>
      <c r="I62">
        <f t="shared" si="1"/>
        <v>18</v>
      </c>
      <c r="K62" s="18">
        <f t="shared" si="2"/>
        <v>11416.5</v>
      </c>
      <c r="L62">
        <f t="shared" si="3"/>
        <v>37</v>
      </c>
      <c r="N62" s="19">
        <f t="shared" si="4"/>
        <v>2.6086001616091377E-4</v>
      </c>
    </row>
    <row r="63" spans="1:14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>
        <f>VLOOKUP(A63,Лист2!$A$1:$E$505, 3, 0)</f>
        <v>36</v>
      </c>
      <c r="F63" s="7">
        <f>VLOOKUP(A63,Лист2!$A$1:$E$505, 4, 0)</f>
        <v>4770</v>
      </c>
      <c r="G63" s="7">
        <f>VLOOKUP(A63,Лист2!$A$1:$E$505, 5, 0)</f>
        <v>4424</v>
      </c>
      <c r="H63" s="14">
        <f t="shared" si="0"/>
        <v>328.75</v>
      </c>
      <c r="I63">
        <f t="shared" si="1"/>
        <v>22</v>
      </c>
      <c r="K63" s="18">
        <f t="shared" si="2"/>
        <v>11416.5</v>
      </c>
      <c r="L63">
        <f t="shared" si="3"/>
        <v>37</v>
      </c>
      <c r="N63" s="19">
        <f t="shared" si="4"/>
        <v>2.6092808186456581E-4</v>
      </c>
    </row>
    <row r="64" spans="1:14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>
        <f>VLOOKUP(A64,Лист2!$A$1:$E$505, 3, 0)</f>
        <v>36</v>
      </c>
      <c r="F64" s="7">
        <f>VLOOKUP(A64,Лист2!$A$1:$E$505, 4, 0)</f>
        <v>5457</v>
      </c>
      <c r="G64" s="7">
        <f>VLOOKUP(A64,Лист2!$A$1:$E$505, 5, 0)</f>
        <v>4916</v>
      </c>
      <c r="H64" s="14">
        <f t="shared" si="0"/>
        <v>322.75</v>
      </c>
      <c r="I64">
        <f t="shared" si="1"/>
        <v>18</v>
      </c>
      <c r="K64" s="18">
        <f t="shared" si="2"/>
        <v>11416.5</v>
      </c>
      <c r="L64">
        <f t="shared" si="3"/>
        <v>37</v>
      </c>
      <c r="N64" s="19">
        <f t="shared" si="4"/>
        <v>2.6099618309799553E-4</v>
      </c>
    </row>
    <row r="65" spans="1:14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>
        <f>VLOOKUP(A65,Лист2!$A$1:$E$505, 3, 0)</f>
        <v>36</v>
      </c>
      <c r="F65" s="7">
        <f>VLOOKUP(A65,Лист2!$A$1:$E$505, 4, 0)</f>
        <v>4418</v>
      </c>
      <c r="G65" s="7">
        <f>VLOOKUP(A65,Лист2!$A$1:$E$505, 5, 0)</f>
        <v>4088</v>
      </c>
      <c r="H65" s="14">
        <f t="shared" si="0"/>
        <v>259.125</v>
      </c>
      <c r="I65">
        <f t="shared" si="1"/>
        <v>20</v>
      </c>
      <c r="K65" s="18">
        <f t="shared" si="2"/>
        <v>11416.5</v>
      </c>
      <c r="L65">
        <f t="shared" si="3"/>
        <v>37</v>
      </c>
      <c r="N65" s="19">
        <f t="shared" si="4"/>
        <v>2.6106431988902963E-4</v>
      </c>
    </row>
    <row r="66" spans="1:14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>
        <f>VLOOKUP(A66,Лист2!$A$1:$E$505, 3, 0)</f>
        <v>36</v>
      </c>
      <c r="F66" s="7">
        <f>VLOOKUP(A66,Лист2!$A$1:$E$505, 4, 0)</f>
        <v>4816</v>
      </c>
      <c r="G66" s="7">
        <f>VLOOKUP(A66,Лист2!$A$1:$E$505, 5, 0)</f>
        <v>4452</v>
      </c>
      <c r="H66" s="14">
        <f t="shared" si="0"/>
        <v>312.5</v>
      </c>
      <c r="I66">
        <f t="shared" si="1"/>
        <v>21</v>
      </c>
      <c r="K66" s="18">
        <f t="shared" si="2"/>
        <v>11416.5</v>
      </c>
      <c r="L66">
        <f t="shared" si="3"/>
        <v>37</v>
      </c>
      <c r="N66" s="19">
        <f t="shared" si="4"/>
        <v>2.6113249226552388E-4</v>
      </c>
    </row>
    <row r="67" spans="1:14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>
        <f>VLOOKUP(A67,Лист2!$A$1:$E$505, 3, 0)</f>
        <v>36</v>
      </c>
      <c r="F67" s="7">
        <f>VLOOKUP(A67,Лист2!$A$1:$E$505, 4, 0)</f>
        <v>5914</v>
      </c>
      <c r="G67" s="7">
        <f>VLOOKUP(A67,Лист2!$A$1:$E$505, 5, 0)</f>
        <v>5384</v>
      </c>
      <c r="H67" s="14">
        <f t="shared" ref="H67:H130" si="5">IF(E67&gt;0, C67 / E67, 0)</f>
        <v>362.875</v>
      </c>
      <c r="I67">
        <f t="shared" ref="I67:I130" si="6">WEEKNUM(A67,2)</f>
        <v>21</v>
      </c>
      <c r="K67" s="18">
        <f t="shared" ref="K67:K130" si="7">SUMIFS($C:$C,$B:$B,B67,$I:$I,$J$2)</f>
        <v>11416.5</v>
      </c>
      <c r="L67">
        <f t="shared" ref="L67:L130" si="8">SUMIFS($E:$E,$B:$B,B67,$I:$I,$J$2)</f>
        <v>37</v>
      </c>
      <c r="N67" s="19">
        <f t="shared" ref="N67:N130" si="9">K67/ SUM(K67:K570)</f>
        <v>2.6120070025536309E-4</v>
      </c>
    </row>
    <row r="68" spans="1:14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>
        <f>VLOOKUP(A68,Лист2!$A$1:$E$505, 3, 0)</f>
        <v>36</v>
      </c>
      <c r="F68" s="7">
        <f>VLOOKUP(A68,Лист2!$A$1:$E$505, 4, 0)</f>
        <v>4575</v>
      </c>
      <c r="G68" s="7">
        <f>VLOOKUP(A68,Лист2!$A$1:$E$505, 5, 0)</f>
        <v>4206</v>
      </c>
      <c r="H68" s="14">
        <f t="shared" si="5"/>
        <v>281.875</v>
      </c>
      <c r="I68">
        <f t="shared" si="6"/>
        <v>19</v>
      </c>
      <c r="K68" s="18">
        <f t="shared" si="7"/>
        <v>11416.5</v>
      </c>
      <c r="L68">
        <f t="shared" si="8"/>
        <v>37</v>
      </c>
      <c r="N68" s="19">
        <f t="shared" si="9"/>
        <v>2.6126894388646117E-4</v>
      </c>
    </row>
    <row r="69" spans="1:14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>
        <f>VLOOKUP(A69,Лист2!$A$1:$E$505, 3, 0)</f>
        <v>36</v>
      </c>
      <c r="F69" s="7">
        <f>VLOOKUP(A69,Лист2!$A$1:$E$505, 4, 0)</f>
        <v>4923</v>
      </c>
      <c r="G69" s="7">
        <f>VLOOKUP(A69,Лист2!$A$1:$E$505, 5, 0)</f>
        <v>4560</v>
      </c>
      <c r="H69" s="14">
        <f t="shared" si="5"/>
        <v>342.54166666666669</v>
      </c>
      <c r="I69">
        <f t="shared" si="6"/>
        <v>18</v>
      </c>
      <c r="K69" s="18">
        <f t="shared" si="7"/>
        <v>11416.5</v>
      </c>
      <c r="L69">
        <f t="shared" si="8"/>
        <v>37</v>
      </c>
      <c r="N69" s="19">
        <f t="shared" si="9"/>
        <v>2.6133722318676144E-4</v>
      </c>
    </row>
    <row r="70" spans="1:14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>
        <f>VLOOKUP(A70,Лист2!$A$1:$E$505, 3, 0)</f>
        <v>36</v>
      </c>
      <c r="F70" s="7">
        <f>VLOOKUP(A70,Лист2!$A$1:$E$505, 4, 0)</f>
        <v>4967</v>
      </c>
      <c r="G70" s="7">
        <f>VLOOKUP(A70,Лист2!$A$1:$E$505, 5, 0)</f>
        <v>4583</v>
      </c>
      <c r="H70" s="14">
        <f t="shared" si="5"/>
        <v>311.16666666666669</v>
      </c>
      <c r="I70">
        <f t="shared" si="6"/>
        <v>20</v>
      </c>
      <c r="K70" s="18">
        <f t="shared" si="7"/>
        <v>11416.5</v>
      </c>
      <c r="L70">
        <f t="shared" si="8"/>
        <v>37</v>
      </c>
      <c r="N70" s="19">
        <f t="shared" si="9"/>
        <v>2.6140553818423614E-4</v>
      </c>
    </row>
    <row r="71" spans="1:14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>
        <f>VLOOKUP(A71,Лист2!$A$1:$E$505, 3, 0)</f>
        <v>37</v>
      </c>
      <c r="F71" s="7">
        <f>VLOOKUP(A71,Лист2!$A$1:$E$505, 4, 0)</f>
        <v>5215</v>
      </c>
      <c r="G71" s="7">
        <f>VLOOKUP(A71,Лист2!$A$1:$E$505, 5, 0)</f>
        <v>4848</v>
      </c>
      <c r="H71" s="14">
        <f t="shared" si="5"/>
        <v>2409.4459459459458</v>
      </c>
      <c r="I71">
        <f t="shared" si="6"/>
        <v>22</v>
      </c>
      <c r="K71" s="18">
        <f t="shared" si="7"/>
        <v>77269.5</v>
      </c>
      <c r="L71">
        <f t="shared" si="8"/>
        <v>37</v>
      </c>
      <c r="N71" s="19">
        <f t="shared" si="9"/>
        <v>1.7697154696177202E-3</v>
      </c>
    </row>
    <row r="72" spans="1:14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>
        <f>VLOOKUP(A72,Лист2!$A$1:$E$505, 3, 0)</f>
        <v>36</v>
      </c>
      <c r="F72" s="7">
        <f>VLOOKUP(A72,Лист2!$A$1:$E$505, 4, 0)</f>
        <v>4751</v>
      </c>
      <c r="G72" s="7">
        <f>VLOOKUP(A72,Лист2!$A$1:$E$505, 5, 0)</f>
        <v>4370</v>
      </c>
      <c r="H72" s="14">
        <f t="shared" si="5"/>
        <v>227.375</v>
      </c>
      <c r="I72">
        <f t="shared" si="6"/>
        <v>18</v>
      </c>
      <c r="K72" s="18">
        <f t="shared" si="7"/>
        <v>11416.5</v>
      </c>
      <c r="L72">
        <f t="shared" si="8"/>
        <v>37</v>
      </c>
      <c r="N72" s="19">
        <f t="shared" si="9"/>
        <v>2.619374436529918E-4</v>
      </c>
    </row>
    <row r="73" spans="1:14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>
        <f>VLOOKUP(A73,Лист2!$A$1:$E$505, 3, 0)</f>
        <v>37</v>
      </c>
      <c r="F73" s="7">
        <f>VLOOKUP(A73,Лист2!$A$1:$E$505, 4, 0)</f>
        <v>6645</v>
      </c>
      <c r="G73" s="7">
        <f>VLOOKUP(A73,Лист2!$A$1:$E$505, 5, 0)</f>
        <v>6122</v>
      </c>
      <c r="H73" s="14">
        <f t="shared" si="5"/>
        <v>2922.2432432432433</v>
      </c>
      <c r="I73">
        <f t="shared" si="6"/>
        <v>22</v>
      </c>
      <c r="K73" s="18">
        <f t="shared" si="7"/>
        <v>77269.5</v>
      </c>
      <c r="L73">
        <f t="shared" si="8"/>
        <v>37</v>
      </c>
      <c r="N73" s="19">
        <f t="shared" si="9"/>
        <v>1.7733174130764473E-3</v>
      </c>
    </row>
    <row r="74" spans="1:14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>
        <f>VLOOKUP(A74,Лист2!$A$1:$E$505, 3, 0)</f>
        <v>36</v>
      </c>
      <c r="F74" s="7">
        <f>VLOOKUP(A74,Лист2!$A$1:$E$505, 4, 0)</f>
        <v>4384</v>
      </c>
      <c r="G74" s="7">
        <f>VLOOKUP(A74,Лист2!$A$1:$E$505, 5, 0)</f>
        <v>4025</v>
      </c>
      <c r="H74" s="14">
        <f t="shared" si="5"/>
        <v>255.83333333333334</v>
      </c>
      <c r="I74">
        <f t="shared" si="6"/>
        <v>19</v>
      </c>
      <c r="K74" s="18">
        <f t="shared" si="7"/>
        <v>11416.5</v>
      </c>
      <c r="L74">
        <f t="shared" si="8"/>
        <v>37</v>
      </c>
      <c r="N74" s="19">
        <f t="shared" si="9"/>
        <v>2.6247151816753982E-4</v>
      </c>
    </row>
    <row r="75" spans="1:14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>
        <f>VLOOKUP(A75,Лист2!$A$1:$E$505, 3, 0)</f>
        <v>36</v>
      </c>
      <c r="F75" s="7">
        <f>VLOOKUP(A75,Лист2!$A$1:$E$505, 4, 0)</f>
        <v>5651</v>
      </c>
      <c r="G75" s="7">
        <f>VLOOKUP(A75,Лист2!$A$1:$E$505, 5, 0)</f>
        <v>5212</v>
      </c>
      <c r="H75" s="14">
        <f t="shared" si="5"/>
        <v>410.375</v>
      </c>
      <c r="I75">
        <f t="shared" si="6"/>
        <v>21</v>
      </c>
      <c r="K75" s="18">
        <f t="shared" si="7"/>
        <v>11416.5</v>
      </c>
      <c r="L75">
        <f t="shared" si="8"/>
        <v>37</v>
      </c>
      <c r="N75" s="19">
        <f t="shared" si="9"/>
        <v>2.6254042755213976E-4</v>
      </c>
    </row>
    <row r="76" spans="1:14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>
        <f>VLOOKUP(A76,Лист2!$A$1:$E$505, 3, 0)</f>
        <v>37</v>
      </c>
      <c r="F76" s="7">
        <f>VLOOKUP(A76,Лист2!$A$1:$E$505, 4, 0)</f>
        <v>4840</v>
      </c>
      <c r="G76" s="7">
        <f>VLOOKUP(A76,Лист2!$A$1:$E$505, 5, 0)</f>
        <v>4475</v>
      </c>
      <c r="H76" s="14">
        <f t="shared" si="5"/>
        <v>2111.9189189189187</v>
      </c>
      <c r="I76">
        <f t="shared" si="6"/>
        <v>22</v>
      </c>
      <c r="K76" s="18">
        <f t="shared" si="7"/>
        <v>77269.5</v>
      </c>
      <c r="L76">
        <f t="shared" si="8"/>
        <v>37</v>
      </c>
      <c r="N76" s="19">
        <f t="shared" si="9"/>
        <v>1.7774006882152879E-3</v>
      </c>
    </row>
    <row r="77" spans="1:14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>
        <f>VLOOKUP(A77,Лист2!$A$1:$E$505, 3, 0)</f>
        <v>36</v>
      </c>
      <c r="F77" s="7">
        <f>VLOOKUP(A77,Лист2!$A$1:$E$505, 4, 0)</f>
        <v>4641</v>
      </c>
      <c r="G77" s="7">
        <f>VLOOKUP(A77,Лист2!$A$1:$E$505, 5, 0)</f>
        <v>4274</v>
      </c>
      <c r="H77" s="14">
        <f t="shared" si="5"/>
        <v>341.125</v>
      </c>
      <c r="I77">
        <f t="shared" si="6"/>
        <v>22</v>
      </c>
      <c r="K77" s="18">
        <f t="shared" si="7"/>
        <v>11416.5</v>
      </c>
      <c r="L77">
        <f t="shared" si="8"/>
        <v>37</v>
      </c>
      <c r="N77" s="19">
        <f t="shared" si="9"/>
        <v>2.630769663102137E-4</v>
      </c>
    </row>
    <row r="78" spans="1:14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>
        <f>VLOOKUP(A78,Лист2!$A$1:$E$505, 3, 0)</f>
        <v>36</v>
      </c>
      <c r="F78" s="7">
        <f>VLOOKUP(A78,Лист2!$A$1:$E$505, 4, 0)</f>
        <v>5143</v>
      </c>
      <c r="G78" s="7">
        <f>VLOOKUP(A78,Лист2!$A$1:$E$505, 5, 0)</f>
        <v>4715</v>
      </c>
      <c r="H78" s="14">
        <f t="shared" si="5"/>
        <v>248.16666666666666</v>
      </c>
      <c r="I78">
        <f t="shared" si="6"/>
        <v>18</v>
      </c>
      <c r="K78" s="18">
        <f t="shared" si="7"/>
        <v>11416.5</v>
      </c>
      <c r="L78">
        <f t="shared" si="8"/>
        <v>37</v>
      </c>
      <c r="N78" s="19">
        <f t="shared" si="9"/>
        <v>2.6314619401263058E-4</v>
      </c>
    </row>
    <row r="79" spans="1:14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>
        <f>VLOOKUP(A79,Лист2!$A$1:$E$505, 3, 0)</f>
        <v>36</v>
      </c>
      <c r="F79" s="7">
        <f>VLOOKUP(A79,Лист2!$A$1:$E$505, 4, 0)</f>
        <v>5746</v>
      </c>
      <c r="G79" s="7">
        <f>VLOOKUP(A79,Лист2!$A$1:$E$505, 5, 0)</f>
        <v>5277</v>
      </c>
      <c r="H79" s="14">
        <f t="shared" si="5"/>
        <v>358.83333333333331</v>
      </c>
      <c r="I79">
        <f t="shared" si="6"/>
        <v>19</v>
      </c>
      <c r="K79" s="18">
        <f t="shared" si="7"/>
        <v>11416.5</v>
      </c>
      <c r="L79">
        <f t="shared" si="8"/>
        <v>37</v>
      </c>
      <c r="N79" s="19">
        <f t="shared" si="9"/>
        <v>2.6321545815865036E-4</v>
      </c>
    </row>
    <row r="80" spans="1:14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>
        <f>VLOOKUP(A80,Лист2!$A$1:$E$505, 3, 0)</f>
        <v>36</v>
      </c>
      <c r="F80" s="7">
        <f>VLOOKUP(A80,Лист2!$A$1:$E$505, 4, 0)</f>
        <v>4199</v>
      </c>
      <c r="G80" s="7">
        <f>VLOOKUP(A80,Лист2!$A$1:$E$505, 5, 0)</f>
        <v>3867</v>
      </c>
      <c r="H80" s="14">
        <f t="shared" si="5"/>
        <v>348</v>
      </c>
      <c r="I80">
        <f t="shared" si="6"/>
        <v>19</v>
      </c>
      <c r="K80" s="18">
        <f t="shared" si="7"/>
        <v>11416.5</v>
      </c>
      <c r="L80">
        <f t="shared" si="8"/>
        <v>37</v>
      </c>
      <c r="N80" s="19">
        <f t="shared" si="9"/>
        <v>2.6328475877705803E-4</v>
      </c>
    </row>
    <row r="81" spans="1:14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>
        <f>VLOOKUP(A81,Лист2!$A$1:$E$505, 3, 0)</f>
        <v>36</v>
      </c>
      <c r="F81" s="7">
        <f>VLOOKUP(A81,Лист2!$A$1:$E$505, 4, 0)</f>
        <v>4826</v>
      </c>
      <c r="G81" s="7">
        <f>VLOOKUP(A81,Лист2!$A$1:$E$505, 5, 0)</f>
        <v>4426</v>
      </c>
      <c r="H81" s="14">
        <f t="shared" si="5"/>
        <v>306.375</v>
      </c>
      <c r="I81">
        <f t="shared" si="6"/>
        <v>19</v>
      </c>
      <c r="K81" s="18">
        <f t="shared" si="7"/>
        <v>11416.5</v>
      </c>
      <c r="L81">
        <f t="shared" si="8"/>
        <v>37</v>
      </c>
      <c r="N81" s="19">
        <f t="shared" si="9"/>
        <v>2.6335409589666912E-4</v>
      </c>
    </row>
    <row r="82" spans="1:14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>
        <f>VLOOKUP(A82,Лист2!$A$1:$E$505, 3, 0)</f>
        <v>36</v>
      </c>
      <c r="F82" s="7">
        <f>VLOOKUP(A82,Лист2!$A$1:$E$505, 4, 0)</f>
        <v>4915</v>
      </c>
      <c r="G82" s="7">
        <f>VLOOKUP(A82,Лист2!$A$1:$E$505, 5, 0)</f>
        <v>4562</v>
      </c>
      <c r="H82" s="14">
        <f t="shared" si="5"/>
        <v>277.625</v>
      </c>
      <c r="I82">
        <f t="shared" si="6"/>
        <v>21</v>
      </c>
      <c r="K82" s="18">
        <f t="shared" si="7"/>
        <v>11416.5</v>
      </c>
      <c r="L82">
        <f t="shared" si="8"/>
        <v>37</v>
      </c>
      <c r="N82" s="19">
        <f t="shared" si="9"/>
        <v>2.6342346954632949E-4</v>
      </c>
    </row>
    <row r="83" spans="1:14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>
        <f>VLOOKUP(A83,Лист2!$A$1:$E$505, 3, 0)</f>
        <v>37</v>
      </c>
      <c r="F83" s="7">
        <f>VLOOKUP(A83,Лист2!$A$1:$E$505, 4, 0)</f>
        <v>5215</v>
      </c>
      <c r="G83" s="7">
        <f>VLOOKUP(A83,Лист2!$A$1:$E$505, 5, 0)</f>
        <v>4848</v>
      </c>
      <c r="H83" s="14">
        <f t="shared" si="5"/>
        <v>343.90540540540542</v>
      </c>
      <c r="I83">
        <f t="shared" si="6"/>
        <v>22</v>
      </c>
      <c r="K83" s="18">
        <f t="shared" si="7"/>
        <v>11416.5</v>
      </c>
      <c r="L83">
        <f t="shared" si="8"/>
        <v>37</v>
      </c>
      <c r="N83" s="19">
        <f t="shared" si="9"/>
        <v>2.6349287975491528E-4</v>
      </c>
    </row>
    <row r="84" spans="1:14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>
        <f>VLOOKUP(A84,Лист2!$A$1:$E$505, 3, 0)</f>
        <v>37</v>
      </c>
      <c r="F84" s="7">
        <f>VLOOKUP(A84,Лист2!$A$1:$E$505, 4, 0)</f>
        <v>6645</v>
      </c>
      <c r="G84" s="7">
        <f>VLOOKUP(A84,Лист2!$A$1:$E$505, 5, 0)</f>
        <v>6122</v>
      </c>
      <c r="H84" s="14">
        <f t="shared" si="5"/>
        <v>398.06756756756755</v>
      </c>
      <c r="I84">
        <f t="shared" si="6"/>
        <v>22</v>
      </c>
      <c r="K84" s="18">
        <f t="shared" si="7"/>
        <v>11416.5</v>
      </c>
      <c r="L84">
        <f t="shared" si="8"/>
        <v>37</v>
      </c>
      <c r="N84" s="19">
        <f t="shared" si="9"/>
        <v>2.6356232655133318E-4</v>
      </c>
    </row>
    <row r="85" spans="1:14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>
        <f>VLOOKUP(A85,Лист2!$A$1:$E$505, 3, 0)</f>
        <v>37</v>
      </c>
      <c r="F85" s="7">
        <f>VLOOKUP(A85,Лист2!$A$1:$E$505, 4, 0)</f>
        <v>4840</v>
      </c>
      <c r="G85" s="7">
        <f>VLOOKUP(A85,Лист2!$A$1:$E$505, 5, 0)</f>
        <v>4475</v>
      </c>
      <c r="H85" s="14">
        <f t="shared" si="5"/>
        <v>352.37837837837839</v>
      </c>
      <c r="I85">
        <f t="shared" si="6"/>
        <v>22</v>
      </c>
      <c r="K85" s="18">
        <f t="shared" si="7"/>
        <v>11416.5</v>
      </c>
      <c r="L85">
        <f t="shared" si="8"/>
        <v>37</v>
      </c>
      <c r="N85" s="19">
        <f t="shared" si="9"/>
        <v>2.6363180996452038E-4</v>
      </c>
    </row>
    <row r="86" spans="1:14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>
        <f>VLOOKUP(A86,Лист2!$A$1:$E$505, 3, 0)</f>
        <v>36</v>
      </c>
      <c r="F86" s="7">
        <f>VLOOKUP(A86,Лист2!$A$1:$E$505, 4, 0)</f>
        <v>5286</v>
      </c>
      <c r="G86" s="7">
        <f>VLOOKUP(A86,Лист2!$A$1:$E$505, 5, 0)</f>
        <v>4867</v>
      </c>
      <c r="H86" s="14">
        <f t="shared" si="5"/>
        <v>985.625</v>
      </c>
      <c r="I86">
        <f t="shared" si="6"/>
        <v>20</v>
      </c>
      <c r="K86" s="18">
        <f t="shared" si="7"/>
        <v>32170.5</v>
      </c>
      <c r="L86">
        <f t="shared" si="8"/>
        <v>37</v>
      </c>
      <c r="N86" s="19">
        <f t="shared" si="9"/>
        <v>7.4308269938415644E-4</v>
      </c>
    </row>
    <row r="87" spans="1:14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>
        <f>VLOOKUP(A87,Лист2!$A$1:$E$505, 3, 0)</f>
        <v>36</v>
      </c>
      <c r="F87" s="7">
        <f>VLOOKUP(A87,Лист2!$A$1:$E$505, 4, 0)</f>
        <v>5094</v>
      </c>
      <c r="G87" s="7">
        <f>VLOOKUP(A87,Лист2!$A$1:$E$505, 5, 0)</f>
        <v>4716</v>
      </c>
      <c r="H87" s="14">
        <f t="shared" si="5"/>
        <v>900.95833333333337</v>
      </c>
      <c r="I87">
        <f t="shared" si="6"/>
        <v>21</v>
      </c>
      <c r="K87" s="18">
        <f t="shared" si="7"/>
        <v>32170.5</v>
      </c>
      <c r="L87">
        <f t="shared" si="8"/>
        <v>37</v>
      </c>
      <c r="N87" s="19">
        <f t="shared" si="9"/>
        <v>7.4363528189678551E-4</v>
      </c>
    </row>
    <row r="88" spans="1:14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>
        <f>VLOOKUP(A88,Лист2!$A$1:$E$505, 3, 0)</f>
        <v>36</v>
      </c>
      <c r="F88" s="7">
        <f>VLOOKUP(A88,Лист2!$A$1:$E$505, 4, 0)</f>
        <v>4918</v>
      </c>
      <c r="G88" s="7">
        <f>VLOOKUP(A88,Лист2!$A$1:$E$505, 5, 0)</f>
        <v>4554</v>
      </c>
      <c r="H88" s="14">
        <f t="shared" si="5"/>
        <v>846.83333333333337</v>
      </c>
      <c r="I88">
        <f t="shared" si="6"/>
        <v>20</v>
      </c>
      <c r="K88" s="18">
        <f t="shared" si="7"/>
        <v>32170.5</v>
      </c>
      <c r="L88">
        <f t="shared" si="8"/>
        <v>37</v>
      </c>
      <c r="N88" s="19">
        <f t="shared" si="9"/>
        <v>7.4418868686072358E-4</v>
      </c>
    </row>
    <row r="89" spans="1:14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>
        <f>VLOOKUP(A89,Лист2!$A$1:$E$505, 3, 0)</f>
        <v>36</v>
      </c>
      <c r="F89" s="7">
        <f>VLOOKUP(A89,Лист2!$A$1:$E$505, 4, 0)</f>
        <v>5413</v>
      </c>
      <c r="G89" s="7">
        <f>VLOOKUP(A89,Лист2!$A$1:$E$505, 5, 0)</f>
        <v>4959</v>
      </c>
      <c r="H89" s="14">
        <f t="shared" si="5"/>
        <v>891.08333333333337</v>
      </c>
      <c r="I89">
        <f t="shared" si="6"/>
        <v>19</v>
      </c>
      <c r="K89" s="18">
        <f t="shared" si="7"/>
        <v>32170.5</v>
      </c>
      <c r="L89">
        <f t="shared" si="8"/>
        <v>37</v>
      </c>
      <c r="N89" s="19">
        <f t="shared" si="9"/>
        <v>7.4474291611351497E-4</v>
      </c>
    </row>
    <row r="90" spans="1:14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>
        <f>VLOOKUP(A90,Лист2!$A$1:$E$505, 3, 0)</f>
        <v>36</v>
      </c>
      <c r="F90" s="7">
        <f>VLOOKUP(A90,Лист2!$A$1:$E$505, 4, 0)</f>
        <v>4508</v>
      </c>
      <c r="G90" s="7">
        <f>VLOOKUP(A90,Лист2!$A$1:$E$505, 5, 0)</f>
        <v>4149</v>
      </c>
      <c r="H90" s="14">
        <f t="shared" si="5"/>
        <v>752</v>
      </c>
      <c r="I90">
        <f t="shared" si="6"/>
        <v>19</v>
      </c>
      <c r="K90" s="18">
        <f t="shared" si="7"/>
        <v>32170.5</v>
      </c>
      <c r="L90">
        <f t="shared" si="8"/>
        <v>37</v>
      </c>
      <c r="N90" s="19">
        <f t="shared" si="9"/>
        <v>7.4529797149818205E-4</v>
      </c>
    </row>
    <row r="91" spans="1:14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>
        <f>VLOOKUP(A91,Лист2!$A$1:$E$505, 3, 0)</f>
        <v>36</v>
      </c>
      <c r="F91" s="7">
        <f>VLOOKUP(A91,Лист2!$A$1:$E$505, 4, 0)</f>
        <v>4937</v>
      </c>
      <c r="G91" s="7">
        <f>VLOOKUP(A91,Лист2!$A$1:$E$505, 5, 0)</f>
        <v>4561</v>
      </c>
      <c r="H91" s="14">
        <f t="shared" si="5"/>
        <v>719.91666666666663</v>
      </c>
      <c r="I91">
        <f t="shared" si="6"/>
        <v>18</v>
      </c>
      <c r="K91" s="18">
        <f t="shared" si="7"/>
        <v>32170.5</v>
      </c>
      <c r="L91">
        <f t="shared" si="8"/>
        <v>37</v>
      </c>
      <c r="N91" s="19">
        <f t="shared" si="9"/>
        <v>7.4585385486324572E-4</v>
      </c>
    </row>
    <row r="92" spans="1:14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>
        <f>VLOOKUP(A92,Лист2!$A$1:$E$505, 3, 0)</f>
        <v>36</v>
      </c>
      <c r="F92" s="7">
        <f>VLOOKUP(A92,Лист2!$A$1:$E$505, 4, 0)</f>
        <v>3442</v>
      </c>
      <c r="G92" s="7">
        <f>VLOOKUP(A92,Лист2!$A$1:$E$505, 5, 0)</f>
        <v>3147</v>
      </c>
      <c r="H92" s="14">
        <f t="shared" si="5"/>
        <v>540.58333333333337</v>
      </c>
      <c r="I92">
        <f t="shared" si="6"/>
        <v>18</v>
      </c>
      <c r="K92" s="18">
        <f t="shared" si="7"/>
        <v>32170.5</v>
      </c>
      <c r="L92">
        <f t="shared" si="8"/>
        <v>37</v>
      </c>
      <c r="N92" s="19">
        <f t="shared" si="9"/>
        <v>7.4641056806274591E-4</v>
      </c>
    </row>
    <row r="93" spans="1:14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>
        <f>VLOOKUP(A93,Лист2!$A$1:$E$505, 3, 0)</f>
        <v>36</v>
      </c>
      <c r="F93" s="7">
        <f>VLOOKUP(A93,Лист2!$A$1:$E$505, 4, 0)</f>
        <v>4770</v>
      </c>
      <c r="G93" s="7">
        <f>VLOOKUP(A93,Лист2!$A$1:$E$505, 5, 0)</f>
        <v>4424</v>
      </c>
      <c r="H93" s="14">
        <f t="shared" si="5"/>
        <v>872.41666666666663</v>
      </c>
      <c r="I93">
        <f t="shared" si="6"/>
        <v>22</v>
      </c>
      <c r="K93" s="18">
        <f t="shared" si="7"/>
        <v>32170.5</v>
      </c>
      <c r="L93">
        <f t="shared" si="8"/>
        <v>37</v>
      </c>
      <c r="N93" s="19">
        <f t="shared" si="9"/>
        <v>7.4696811295626238E-4</v>
      </c>
    </row>
    <row r="94" spans="1:14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>
        <f>VLOOKUP(A94,Лист2!$A$1:$E$505, 3, 0)</f>
        <v>36</v>
      </c>
      <c r="F94" s="7">
        <f>VLOOKUP(A94,Лист2!$A$1:$E$505, 4, 0)</f>
        <v>5457</v>
      </c>
      <c r="G94" s="7">
        <f>VLOOKUP(A94,Лист2!$A$1:$E$505, 5, 0)</f>
        <v>4916</v>
      </c>
      <c r="H94" s="14">
        <f t="shared" si="5"/>
        <v>716.45833333333337</v>
      </c>
      <c r="I94">
        <f t="shared" si="6"/>
        <v>18</v>
      </c>
      <c r="K94" s="18">
        <f t="shared" si="7"/>
        <v>32170.5</v>
      </c>
      <c r="L94">
        <f t="shared" si="8"/>
        <v>37</v>
      </c>
      <c r="N94" s="19">
        <f t="shared" si="9"/>
        <v>7.475264914089349E-4</v>
      </c>
    </row>
    <row r="95" spans="1:14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>
        <f>VLOOKUP(A95,Лист2!$A$1:$E$505, 3, 0)</f>
        <v>36</v>
      </c>
      <c r="F95" s="7">
        <f>VLOOKUP(A95,Лист2!$A$1:$E$505, 4, 0)</f>
        <v>4418</v>
      </c>
      <c r="G95" s="7">
        <f>VLOOKUP(A95,Лист2!$A$1:$E$505, 5, 0)</f>
        <v>4088</v>
      </c>
      <c r="H95" s="14">
        <f t="shared" si="5"/>
        <v>723.125</v>
      </c>
      <c r="I95">
        <f t="shared" si="6"/>
        <v>20</v>
      </c>
      <c r="K95" s="18">
        <f t="shared" si="7"/>
        <v>32170.5</v>
      </c>
      <c r="L95">
        <f t="shared" si="8"/>
        <v>37</v>
      </c>
      <c r="N95" s="19">
        <f t="shared" si="9"/>
        <v>7.4808570529148462E-4</v>
      </c>
    </row>
    <row r="96" spans="1:14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>
        <f>VLOOKUP(A96,Лист2!$A$1:$E$505, 3, 0)</f>
        <v>36</v>
      </c>
      <c r="F96" s="7">
        <f>VLOOKUP(A96,Лист2!$A$1:$E$505, 4, 0)</f>
        <v>4816</v>
      </c>
      <c r="G96" s="7">
        <f>VLOOKUP(A96,Лист2!$A$1:$E$505, 5, 0)</f>
        <v>4452</v>
      </c>
      <c r="H96" s="14">
        <f t="shared" si="5"/>
        <v>880.75</v>
      </c>
      <c r="I96">
        <f t="shared" si="6"/>
        <v>21</v>
      </c>
      <c r="K96" s="18">
        <f t="shared" si="7"/>
        <v>32170.5</v>
      </c>
      <c r="L96">
        <f t="shared" si="8"/>
        <v>37</v>
      </c>
      <c r="N96" s="19">
        <f t="shared" si="9"/>
        <v>7.4864575648023461E-4</v>
      </c>
    </row>
    <row r="97" spans="1:14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>
        <f>VLOOKUP(A97,Лист2!$A$1:$E$505, 3, 0)</f>
        <v>36</v>
      </c>
      <c r="F97" s="7">
        <f>VLOOKUP(A97,Лист2!$A$1:$E$505, 4, 0)</f>
        <v>5914</v>
      </c>
      <c r="G97" s="7">
        <f>VLOOKUP(A97,Лист2!$A$1:$E$505, 5, 0)</f>
        <v>5384</v>
      </c>
      <c r="H97" s="14">
        <f t="shared" si="5"/>
        <v>832.08333333333337</v>
      </c>
      <c r="I97">
        <f t="shared" si="6"/>
        <v>21</v>
      </c>
      <c r="K97" s="18">
        <f t="shared" si="7"/>
        <v>32170.5</v>
      </c>
      <c r="L97">
        <f t="shared" si="8"/>
        <v>37</v>
      </c>
      <c r="N97" s="19">
        <f t="shared" si="9"/>
        <v>7.4920664685713099E-4</v>
      </c>
    </row>
    <row r="98" spans="1:14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>
        <f>VLOOKUP(A98,Лист2!$A$1:$E$505, 3, 0)</f>
        <v>36</v>
      </c>
      <c r="F98" s="7">
        <f>VLOOKUP(A98,Лист2!$A$1:$E$505, 4, 0)</f>
        <v>4575</v>
      </c>
      <c r="G98" s="7">
        <f>VLOOKUP(A98,Лист2!$A$1:$E$505, 5, 0)</f>
        <v>4206</v>
      </c>
      <c r="H98" s="14">
        <f t="shared" si="5"/>
        <v>634.66666666666663</v>
      </c>
      <c r="I98">
        <f t="shared" si="6"/>
        <v>19</v>
      </c>
      <c r="K98" s="18">
        <f t="shared" si="7"/>
        <v>32170.5</v>
      </c>
      <c r="L98">
        <f t="shared" si="8"/>
        <v>37</v>
      </c>
      <c r="N98" s="19">
        <f t="shared" si="9"/>
        <v>7.4976837830976399E-4</v>
      </c>
    </row>
    <row r="99" spans="1:14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>
        <f>VLOOKUP(A99,Лист2!$A$1:$E$505, 3, 0)</f>
        <v>36</v>
      </c>
      <c r="F99" s="7">
        <f>VLOOKUP(A99,Лист2!$A$1:$E$505, 4, 0)</f>
        <v>4923</v>
      </c>
      <c r="G99" s="7">
        <f>VLOOKUP(A99,Лист2!$A$1:$E$505, 5, 0)</f>
        <v>4560</v>
      </c>
      <c r="H99" s="14">
        <f t="shared" si="5"/>
        <v>647.625</v>
      </c>
      <c r="I99">
        <f t="shared" si="6"/>
        <v>18</v>
      </c>
      <c r="K99" s="18">
        <f t="shared" si="7"/>
        <v>32170.5</v>
      </c>
      <c r="L99">
        <f t="shared" si="8"/>
        <v>37</v>
      </c>
      <c r="N99" s="19">
        <f t="shared" si="9"/>
        <v>7.5033095273138901E-4</v>
      </c>
    </row>
    <row r="100" spans="1:14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>
        <f>VLOOKUP(A100,Лист2!$A$1:$E$505, 3, 0)</f>
        <v>36</v>
      </c>
      <c r="F100" s="7">
        <f>VLOOKUP(A100,Лист2!$A$1:$E$505, 4, 0)</f>
        <v>4967</v>
      </c>
      <c r="G100" s="7">
        <f>VLOOKUP(A100,Лист2!$A$1:$E$505, 5, 0)</f>
        <v>4583</v>
      </c>
      <c r="H100" s="14">
        <f t="shared" si="5"/>
        <v>735.125</v>
      </c>
      <c r="I100">
        <f t="shared" si="6"/>
        <v>20</v>
      </c>
      <c r="K100" s="18">
        <f t="shared" si="7"/>
        <v>32170.5</v>
      </c>
      <c r="L100">
        <f t="shared" si="8"/>
        <v>37</v>
      </c>
      <c r="N100" s="19">
        <f t="shared" si="9"/>
        <v>7.5089437202094812E-4</v>
      </c>
    </row>
    <row r="101" spans="1:14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>
        <f>VLOOKUP(A101,Лист2!$A$1:$E$505, 3, 0)</f>
        <v>36</v>
      </c>
      <c r="F101" s="7">
        <f>VLOOKUP(A101,Лист2!$A$1:$E$505, 4, 0)</f>
        <v>4751</v>
      </c>
      <c r="G101" s="7">
        <f>VLOOKUP(A101,Лист2!$A$1:$E$505, 5, 0)</f>
        <v>4370</v>
      </c>
      <c r="H101" s="14">
        <f t="shared" si="5"/>
        <v>653.875</v>
      </c>
      <c r="I101">
        <f t="shared" si="6"/>
        <v>18</v>
      </c>
      <c r="K101" s="18">
        <f t="shared" si="7"/>
        <v>32170.5</v>
      </c>
      <c r="L101">
        <f t="shared" si="8"/>
        <v>37</v>
      </c>
      <c r="N101" s="19">
        <f t="shared" si="9"/>
        <v>7.5145863808309123E-4</v>
      </c>
    </row>
    <row r="102" spans="1:14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>
        <f>VLOOKUP(A102,Лист2!$A$1:$E$505, 3, 0)</f>
        <v>36</v>
      </c>
      <c r="F102" s="7">
        <f>VLOOKUP(A102,Лист2!$A$1:$E$505, 4, 0)</f>
        <v>4384</v>
      </c>
      <c r="G102" s="7">
        <f>VLOOKUP(A102,Лист2!$A$1:$E$505, 5, 0)</f>
        <v>4025</v>
      </c>
      <c r="H102" s="14">
        <f t="shared" si="5"/>
        <v>685.5</v>
      </c>
      <c r="I102">
        <f t="shared" si="6"/>
        <v>19</v>
      </c>
      <c r="K102" s="18">
        <f t="shared" si="7"/>
        <v>32170.5</v>
      </c>
      <c r="L102">
        <f t="shared" si="8"/>
        <v>37</v>
      </c>
      <c r="N102" s="19">
        <f t="shared" si="9"/>
        <v>7.5202375282819767E-4</v>
      </c>
    </row>
    <row r="103" spans="1:14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>
        <f>VLOOKUP(A103,Лист2!$A$1:$E$505, 3, 0)</f>
        <v>36</v>
      </c>
      <c r="F103" s="7">
        <f>VLOOKUP(A103,Лист2!$A$1:$E$505, 4, 0)</f>
        <v>5651</v>
      </c>
      <c r="G103" s="7">
        <f>VLOOKUP(A103,Лист2!$A$1:$E$505, 5, 0)</f>
        <v>5212</v>
      </c>
      <c r="H103" s="14">
        <f t="shared" si="5"/>
        <v>1060.4583333333333</v>
      </c>
      <c r="I103">
        <f t="shared" si="6"/>
        <v>21</v>
      </c>
      <c r="K103" s="18">
        <f t="shared" si="7"/>
        <v>32170.5</v>
      </c>
      <c r="L103">
        <f t="shared" si="8"/>
        <v>37</v>
      </c>
      <c r="N103" s="19">
        <f t="shared" si="9"/>
        <v>7.5258971817239765E-4</v>
      </c>
    </row>
    <row r="104" spans="1:14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>
        <f>VLOOKUP(A104,Лист2!$A$1:$E$505, 3, 0)</f>
        <v>36</v>
      </c>
      <c r="F104" s="7">
        <f>VLOOKUP(A104,Лист2!$A$1:$E$505, 4, 0)</f>
        <v>4641</v>
      </c>
      <c r="G104" s="7">
        <f>VLOOKUP(A104,Лист2!$A$1:$E$505, 5, 0)</f>
        <v>4274</v>
      </c>
      <c r="H104" s="14">
        <f t="shared" si="5"/>
        <v>850.08333333333337</v>
      </c>
      <c r="I104">
        <f t="shared" si="6"/>
        <v>22</v>
      </c>
      <c r="K104" s="18">
        <f t="shared" si="7"/>
        <v>32170.5</v>
      </c>
      <c r="L104">
        <f t="shared" si="8"/>
        <v>37</v>
      </c>
      <c r="N104" s="19">
        <f t="shared" si="9"/>
        <v>7.5315653603759381E-4</v>
      </c>
    </row>
    <row r="105" spans="1:14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>
        <f>VLOOKUP(A105,Лист2!$A$1:$E$505, 3, 0)</f>
        <v>36</v>
      </c>
      <c r="F105" s="7">
        <f>VLOOKUP(A105,Лист2!$A$1:$E$505, 4, 0)</f>
        <v>5143</v>
      </c>
      <c r="G105" s="7">
        <f>VLOOKUP(A105,Лист2!$A$1:$E$505, 5, 0)</f>
        <v>4715</v>
      </c>
      <c r="H105" s="14">
        <f t="shared" si="5"/>
        <v>672.54166666666663</v>
      </c>
      <c r="I105">
        <f t="shared" si="6"/>
        <v>18</v>
      </c>
      <c r="K105" s="18">
        <f t="shared" si="7"/>
        <v>32170.5</v>
      </c>
      <c r="L105">
        <f t="shared" si="8"/>
        <v>37</v>
      </c>
      <c r="N105" s="19">
        <f t="shared" si="9"/>
        <v>7.5372420835148352E-4</v>
      </c>
    </row>
    <row r="106" spans="1:14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>
        <f>VLOOKUP(A106,Лист2!$A$1:$E$505, 3, 0)</f>
        <v>36</v>
      </c>
      <c r="F106" s="7">
        <f>VLOOKUP(A106,Лист2!$A$1:$E$505, 4, 0)</f>
        <v>5746</v>
      </c>
      <c r="G106" s="7">
        <f>VLOOKUP(A106,Лист2!$A$1:$E$505, 5, 0)</f>
        <v>5277</v>
      </c>
      <c r="H106" s="14">
        <f t="shared" si="5"/>
        <v>872.20833333333337</v>
      </c>
      <c r="I106">
        <f t="shared" si="6"/>
        <v>19</v>
      </c>
      <c r="K106" s="18">
        <f t="shared" si="7"/>
        <v>32170.5</v>
      </c>
      <c r="L106">
        <f t="shared" si="8"/>
        <v>37</v>
      </c>
      <c r="N106" s="19">
        <f t="shared" si="9"/>
        <v>7.5429273704758003E-4</v>
      </c>
    </row>
    <row r="107" spans="1:14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>
        <f>VLOOKUP(A107,Лист2!$A$1:$E$505, 3, 0)</f>
        <v>36</v>
      </c>
      <c r="F107" s="7">
        <f>VLOOKUP(A107,Лист2!$A$1:$E$505, 4, 0)</f>
        <v>4199</v>
      </c>
      <c r="G107" s="7">
        <f>VLOOKUP(A107,Лист2!$A$1:$E$505, 5, 0)</f>
        <v>3867</v>
      </c>
      <c r="H107" s="14">
        <f t="shared" si="5"/>
        <v>702.625</v>
      </c>
      <c r="I107">
        <f t="shared" si="6"/>
        <v>19</v>
      </c>
      <c r="K107" s="18">
        <f t="shared" si="7"/>
        <v>32170.5</v>
      </c>
      <c r="L107">
        <f t="shared" si="8"/>
        <v>37</v>
      </c>
      <c r="N107" s="19">
        <f t="shared" si="9"/>
        <v>7.5486212406523467E-4</v>
      </c>
    </row>
    <row r="108" spans="1:14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>
        <f>VLOOKUP(A108,Лист2!$A$1:$E$505, 3, 0)</f>
        <v>36</v>
      </c>
      <c r="F108" s="7">
        <f>VLOOKUP(A108,Лист2!$A$1:$E$505, 4, 0)</f>
        <v>4826</v>
      </c>
      <c r="G108" s="7">
        <f>VLOOKUP(A108,Лист2!$A$1:$E$505, 5, 0)</f>
        <v>4426</v>
      </c>
      <c r="H108" s="14">
        <f t="shared" si="5"/>
        <v>707.45833333333337</v>
      </c>
      <c r="I108">
        <f t="shared" si="6"/>
        <v>19</v>
      </c>
      <c r="K108" s="18">
        <f t="shared" si="7"/>
        <v>32170.5</v>
      </c>
      <c r="L108">
        <f t="shared" si="8"/>
        <v>37</v>
      </c>
      <c r="N108" s="19">
        <f t="shared" si="9"/>
        <v>7.5543237134965936E-4</v>
      </c>
    </row>
    <row r="109" spans="1:14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>
        <f>VLOOKUP(A109,Лист2!$A$1:$E$505, 3, 0)</f>
        <v>36</v>
      </c>
      <c r="F109" s="7">
        <f>VLOOKUP(A109,Лист2!$A$1:$E$505, 4, 0)</f>
        <v>4915</v>
      </c>
      <c r="G109" s="7">
        <f>VLOOKUP(A109,Лист2!$A$1:$E$505, 5, 0)</f>
        <v>4562</v>
      </c>
      <c r="H109" s="14">
        <f t="shared" si="5"/>
        <v>884.83333333333337</v>
      </c>
      <c r="I109">
        <f t="shared" si="6"/>
        <v>21</v>
      </c>
      <c r="K109" s="18">
        <f t="shared" si="7"/>
        <v>32170.5</v>
      </c>
      <c r="L109">
        <f t="shared" si="8"/>
        <v>37</v>
      </c>
      <c r="N109" s="19">
        <f t="shared" si="9"/>
        <v>7.5600348085194788E-4</v>
      </c>
    </row>
    <row r="110" spans="1:14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>
        <f>VLOOKUP(A110,Лист2!$A$1:$E$505, 3, 0)</f>
        <v>37</v>
      </c>
      <c r="F110" s="7">
        <f>VLOOKUP(A110,Лист2!$A$1:$E$505, 4, 0)</f>
        <v>5215</v>
      </c>
      <c r="G110" s="7">
        <f>VLOOKUP(A110,Лист2!$A$1:$E$505, 5, 0)</f>
        <v>4848</v>
      </c>
      <c r="H110" s="14">
        <f t="shared" si="5"/>
        <v>874.58108108108104</v>
      </c>
      <c r="I110">
        <f t="shared" si="6"/>
        <v>22</v>
      </c>
      <c r="K110" s="18">
        <f t="shared" si="7"/>
        <v>32170.5</v>
      </c>
      <c r="L110">
        <f t="shared" si="8"/>
        <v>37</v>
      </c>
      <c r="N110" s="19">
        <f t="shared" si="9"/>
        <v>7.5657545452909904E-4</v>
      </c>
    </row>
    <row r="111" spans="1:14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>
        <f>VLOOKUP(A111,Лист2!$A$1:$E$505, 3, 0)</f>
        <v>37</v>
      </c>
      <c r="F111" s="7">
        <f>VLOOKUP(A111,Лист2!$A$1:$E$505, 4, 0)</f>
        <v>6645</v>
      </c>
      <c r="G111" s="7">
        <f>VLOOKUP(A111,Лист2!$A$1:$E$505, 5, 0)</f>
        <v>6122</v>
      </c>
      <c r="H111" s="14">
        <f t="shared" si="5"/>
        <v>1077.4864864864865</v>
      </c>
      <c r="I111">
        <f t="shared" si="6"/>
        <v>22</v>
      </c>
      <c r="K111" s="18">
        <f t="shared" si="7"/>
        <v>32170.5</v>
      </c>
      <c r="L111">
        <f t="shared" si="8"/>
        <v>37</v>
      </c>
      <c r="N111" s="19">
        <f t="shared" si="9"/>
        <v>7.5714829434403831E-4</v>
      </c>
    </row>
    <row r="112" spans="1:14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>
        <f>VLOOKUP(A112,Лист2!$A$1:$E$505, 3, 0)</f>
        <v>37</v>
      </c>
      <c r="F112" s="7">
        <f>VLOOKUP(A112,Лист2!$A$1:$E$505, 4, 0)</f>
        <v>4840</v>
      </c>
      <c r="G112" s="7">
        <f>VLOOKUP(A112,Лист2!$A$1:$E$505, 5, 0)</f>
        <v>4475</v>
      </c>
      <c r="H112" s="14">
        <f t="shared" si="5"/>
        <v>864.16216216216219</v>
      </c>
      <c r="I112">
        <f t="shared" si="6"/>
        <v>22</v>
      </c>
      <c r="K112" s="18">
        <f t="shared" si="7"/>
        <v>32170.5</v>
      </c>
      <c r="L112">
        <f t="shared" si="8"/>
        <v>37</v>
      </c>
      <c r="N112" s="19">
        <f t="shared" si="9"/>
        <v>7.5772200226564075E-4</v>
      </c>
    </row>
    <row r="113" spans="1:14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>
        <f>VLOOKUP(A113,Лист2!$A$1:$E$505, 3, 0)</f>
        <v>36</v>
      </c>
      <c r="F113" s="7">
        <f>VLOOKUP(A113,Лист2!$A$1:$E$505, 4, 0)</f>
        <v>5286</v>
      </c>
      <c r="G113" s="7">
        <f>VLOOKUP(A113,Лист2!$A$1:$E$505, 5, 0)</f>
        <v>4867</v>
      </c>
      <c r="H113" s="14">
        <f t="shared" si="5"/>
        <v>8928.125</v>
      </c>
      <c r="I113">
        <f t="shared" si="6"/>
        <v>20</v>
      </c>
      <c r="K113" s="18">
        <f t="shared" si="7"/>
        <v>272926.5</v>
      </c>
      <c r="L113">
        <f t="shared" si="8"/>
        <v>37</v>
      </c>
      <c r="N113" s="19">
        <f t="shared" si="9"/>
        <v>6.4331990990105798E-3</v>
      </c>
    </row>
    <row r="114" spans="1:14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>
        <f>VLOOKUP(A114,Лист2!$A$1:$E$505, 3, 0)</f>
        <v>36</v>
      </c>
      <c r="F114" s="7">
        <f>VLOOKUP(A114,Лист2!$A$1:$E$505, 4, 0)</f>
        <v>5094</v>
      </c>
      <c r="G114" s="7">
        <f>VLOOKUP(A114,Лист2!$A$1:$E$505, 5, 0)</f>
        <v>4716</v>
      </c>
      <c r="H114" s="14">
        <f t="shared" si="5"/>
        <v>7682.458333333333</v>
      </c>
      <c r="I114">
        <f t="shared" si="6"/>
        <v>21</v>
      </c>
      <c r="K114" s="18">
        <f t="shared" si="7"/>
        <v>272926.5</v>
      </c>
      <c r="L114">
        <f t="shared" si="8"/>
        <v>37</v>
      </c>
      <c r="N114" s="19">
        <f t="shared" si="9"/>
        <v>6.4748531182571775E-3</v>
      </c>
    </row>
    <row r="115" spans="1:14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>
        <f>VLOOKUP(A115,Лист2!$A$1:$E$505, 3, 0)</f>
        <v>36</v>
      </c>
      <c r="F115" s="7">
        <f>VLOOKUP(A115,Лист2!$A$1:$E$505, 4, 0)</f>
        <v>4918</v>
      </c>
      <c r="G115" s="7">
        <f>VLOOKUP(A115,Лист2!$A$1:$E$505, 5, 0)</f>
        <v>4554</v>
      </c>
      <c r="H115" s="14">
        <f t="shared" si="5"/>
        <v>7473.041666666667</v>
      </c>
      <c r="I115">
        <f t="shared" si="6"/>
        <v>20</v>
      </c>
      <c r="K115" s="18">
        <f t="shared" si="7"/>
        <v>272926.5</v>
      </c>
      <c r="L115">
        <f t="shared" si="8"/>
        <v>37</v>
      </c>
      <c r="N115" s="19">
        <f t="shared" si="9"/>
        <v>6.5170500601610497E-3</v>
      </c>
    </row>
    <row r="116" spans="1:14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>
        <f>VLOOKUP(A116,Лист2!$A$1:$E$505, 3, 0)</f>
        <v>36</v>
      </c>
      <c r="F116" s="7">
        <f>VLOOKUP(A116,Лист2!$A$1:$E$505, 4, 0)</f>
        <v>5413</v>
      </c>
      <c r="G116" s="7">
        <f>VLOOKUP(A116,Лист2!$A$1:$E$505, 5, 0)</f>
        <v>4959</v>
      </c>
      <c r="H116" s="14">
        <f t="shared" si="5"/>
        <v>7943.666666666667</v>
      </c>
      <c r="I116">
        <f t="shared" si="6"/>
        <v>19</v>
      </c>
      <c r="K116" s="18">
        <f t="shared" si="7"/>
        <v>272926.5</v>
      </c>
      <c r="L116">
        <f t="shared" si="8"/>
        <v>37</v>
      </c>
      <c r="N116" s="19">
        <f t="shared" si="9"/>
        <v>6.5598006091153295E-3</v>
      </c>
    </row>
    <row r="117" spans="1:14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>
        <f>VLOOKUP(A117,Лист2!$A$1:$E$505, 3, 0)</f>
        <v>36</v>
      </c>
      <c r="F117" s="7">
        <f>VLOOKUP(A117,Лист2!$A$1:$E$505, 4, 0)</f>
        <v>4508</v>
      </c>
      <c r="G117" s="7">
        <f>VLOOKUP(A117,Лист2!$A$1:$E$505, 5, 0)</f>
        <v>4149</v>
      </c>
      <c r="H117" s="14">
        <f t="shared" si="5"/>
        <v>7887.291666666667</v>
      </c>
      <c r="I117">
        <f t="shared" si="6"/>
        <v>19</v>
      </c>
      <c r="K117" s="18">
        <f t="shared" si="7"/>
        <v>272926.5</v>
      </c>
      <c r="L117">
        <f t="shared" si="8"/>
        <v>37</v>
      </c>
      <c r="N117" s="19">
        <f t="shared" si="9"/>
        <v>6.6031157317142878E-3</v>
      </c>
    </row>
    <row r="118" spans="1:14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>
        <f>VLOOKUP(A118,Лист2!$A$1:$E$505, 3, 0)</f>
        <v>36</v>
      </c>
      <c r="F118" s="7">
        <f>VLOOKUP(A118,Лист2!$A$1:$E$505, 4, 0)</f>
        <v>4937</v>
      </c>
      <c r="G118" s="7">
        <f>VLOOKUP(A118,Лист2!$A$1:$E$505, 5, 0)</f>
        <v>4561</v>
      </c>
      <c r="H118" s="14">
        <f t="shared" si="5"/>
        <v>8279.4166666666661</v>
      </c>
      <c r="I118">
        <f t="shared" si="6"/>
        <v>18</v>
      </c>
      <c r="K118" s="18">
        <f t="shared" si="7"/>
        <v>272926.5</v>
      </c>
      <c r="L118">
        <f t="shared" si="8"/>
        <v>37</v>
      </c>
      <c r="N118" s="19">
        <f t="shared" si="9"/>
        <v>6.6470066861322981E-3</v>
      </c>
    </row>
    <row r="119" spans="1:14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>
        <f>VLOOKUP(A119,Лист2!$A$1:$E$505, 3, 0)</f>
        <v>36</v>
      </c>
      <c r="F119" s="7">
        <f>VLOOKUP(A119,Лист2!$A$1:$E$505, 4, 0)</f>
        <v>3442</v>
      </c>
      <c r="G119" s="7">
        <f>VLOOKUP(A119,Лист2!$A$1:$E$505, 5, 0)</f>
        <v>3147</v>
      </c>
      <c r="H119" s="14">
        <f t="shared" si="5"/>
        <v>6469.541666666667</v>
      </c>
      <c r="I119">
        <f t="shared" si="6"/>
        <v>18</v>
      </c>
      <c r="K119" s="18">
        <f t="shared" si="7"/>
        <v>272926.5</v>
      </c>
      <c r="L119">
        <f t="shared" si="8"/>
        <v>37</v>
      </c>
      <c r="N119" s="19">
        <f t="shared" si="9"/>
        <v>6.6914850318793538E-3</v>
      </c>
    </row>
    <row r="120" spans="1:14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VLOOKUP(A120,Лист2!$A$1:$E$505, 3, 0)</f>
        <v>36</v>
      </c>
      <c r="F120" s="7">
        <f>VLOOKUP(A120,Лист2!$A$1:$E$505, 4, 0)</f>
        <v>4770</v>
      </c>
      <c r="G120" s="7">
        <f>VLOOKUP(A120,Лист2!$A$1:$E$505, 5, 0)</f>
        <v>4424</v>
      </c>
      <c r="H120" s="14">
        <f t="shared" si="5"/>
        <v>7693.5</v>
      </c>
      <c r="I120">
        <f t="shared" si="6"/>
        <v>22</v>
      </c>
      <c r="K120" s="18">
        <f t="shared" si="7"/>
        <v>272926.5</v>
      </c>
      <c r="L120">
        <f t="shared" si="8"/>
        <v>37</v>
      </c>
      <c r="N120" s="19">
        <f t="shared" si="9"/>
        <v>6.7365626399509028E-3</v>
      </c>
    </row>
    <row r="121" spans="1:14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>
        <f>VLOOKUP(A121,Лист2!$A$1:$E$505, 3, 0)</f>
        <v>36</v>
      </c>
      <c r="F121" s="7">
        <f>VLOOKUP(A121,Лист2!$A$1:$E$505, 4, 0)</f>
        <v>5457</v>
      </c>
      <c r="G121" s="7">
        <f>VLOOKUP(A121,Лист2!$A$1:$E$505, 5, 0)</f>
        <v>4916</v>
      </c>
      <c r="H121" s="14">
        <f t="shared" si="5"/>
        <v>8226.375</v>
      </c>
      <c r="I121">
        <f t="shared" si="6"/>
        <v>18</v>
      </c>
      <c r="K121" s="18">
        <f t="shared" si="7"/>
        <v>272926.5</v>
      </c>
      <c r="L121">
        <f t="shared" si="8"/>
        <v>37</v>
      </c>
      <c r="N121" s="19">
        <f t="shared" si="9"/>
        <v>6.7822517033907081E-3</v>
      </c>
    </row>
    <row r="122" spans="1:14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>
        <f>VLOOKUP(A122,Лист2!$A$1:$E$505, 3, 0)</f>
        <v>36</v>
      </c>
      <c r="F122" s="7">
        <f>VLOOKUP(A122,Лист2!$A$1:$E$505, 4, 0)</f>
        <v>4418</v>
      </c>
      <c r="G122" s="7">
        <f>VLOOKUP(A122,Лист2!$A$1:$E$505, 5, 0)</f>
        <v>4088</v>
      </c>
      <c r="H122" s="14">
        <f t="shared" si="5"/>
        <v>7827.666666666667</v>
      </c>
      <c r="I122">
        <f t="shared" si="6"/>
        <v>20</v>
      </c>
      <c r="K122" s="18">
        <f t="shared" si="7"/>
        <v>272926.5</v>
      </c>
      <c r="L122">
        <f t="shared" si="8"/>
        <v>37</v>
      </c>
      <c r="N122" s="19">
        <f t="shared" si="9"/>
        <v>6.828564748286488E-3</v>
      </c>
    </row>
    <row r="123" spans="1:14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>
        <f>VLOOKUP(A123,Лист2!$A$1:$E$505, 3, 0)</f>
        <v>36</v>
      </c>
      <c r="F123" s="7">
        <f>VLOOKUP(A123,Лист2!$A$1:$E$505, 4, 0)</f>
        <v>4816</v>
      </c>
      <c r="G123" s="7">
        <f>VLOOKUP(A123,Лист2!$A$1:$E$505, 5, 0)</f>
        <v>4452</v>
      </c>
      <c r="H123" s="14">
        <f t="shared" si="5"/>
        <v>8026</v>
      </c>
      <c r="I123">
        <f t="shared" si="6"/>
        <v>21</v>
      </c>
      <c r="K123" s="18">
        <f t="shared" si="7"/>
        <v>272926.5</v>
      </c>
      <c r="L123">
        <f t="shared" si="8"/>
        <v>37</v>
      </c>
      <c r="N123" s="19">
        <f t="shared" si="9"/>
        <v>6.8755146452191595E-3</v>
      </c>
    </row>
    <row r="124" spans="1:14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VLOOKUP(A124,Лист2!$A$1:$E$505, 3, 0)</f>
        <v>36</v>
      </c>
      <c r="F124" s="7">
        <f>VLOOKUP(A124,Лист2!$A$1:$E$505, 4, 0)</f>
        <v>5914</v>
      </c>
      <c r="G124" s="7">
        <f>VLOOKUP(A124,Лист2!$A$1:$E$505, 5, 0)</f>
        <v>5384</v>
      </c>
      <c r="H124" s="14">
        <f t="shared" si="5"/>
        <v>8337.5416666666661</v>
      </c>
      <c r="I124">
        <f t="shared" si="6"/>
        <v>21</v>
      </c>
      <c r="K124" s="18">
        <f t="shared" si="7"/>
        <v>272926.5</v>
      </c>
      <c r="L124">
        <f t="shared" si="8"/>
        <v>37</v>
      </c>
      <c r="N124" s="19">
        <f t="shared" si="9"/>
        <v>6.9231146211876657E-3</v>
      </c>
    </row>
    <row r="125" spans="1:14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>
        <f>VLOOKUP(A125,Лист2!$A$1:$E$505, 3, 0)</f>
        <v>36</v>
      </c>
      <c r="F125" s="7">
        <f>VLOOKUP(A125,Лист2!$A$1:$E$505, 4, 0)</f>
        <v>4575</v>
      </c>
      <c r="G125" s="7">
        <f>VLOOKUP(A125,Лист2!$A$1:$E$505, 5, 0)</f>
        <v>4206</v>
      </c>
      <c r="H125" s="14">
        <f t="shared" si="5"/>
        <v>7298.166666666667</v>
      </c>
      <c r="I125">
        <f t="shared" si="6"/>
        <v>19</v>
      </c>
      <c r="K125" s="18">
        <f t="shared" si="7"/>
        <v>272926.5</v>
      </c>
      <c r="L125">
        <f t="shared" si="8"/>
        <v>37</v>
      </c>
      <c r="N125" s="19">
        <f t="shared" si="9"/>
        <v>6.9713782720326051E-3</v>
      </c>
    </row>
    <row r="126" spans="1:14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>
        <f>VLOOKUP(A126,Лист2!$A$1:$E$505, 3, 0)</f>
        <v>36</v>
      </c>
      <c r="F126" s="7">
        <f>VLOOKUP(A126,Лист2!$A$1:$E$505, 4, 0)</f>
        <v>4923</v>
      </c>
      <c r="G126" s="7">
        <f>VLOOKUP(A126,Лист2!$A$1:$E$505, 5, 0)</f>
        <v>4560</v>
      </c>
      <c r="H126" s="14">
        <f t="shared" si="5"/>
        <v>7944.5</v>
      </c>
      <c r="I126">
        <f t="shared" si="6"/>
        <v>18</v>
      </c>
      <c r="K126" s="18">
        <f t="shared" si="7"/>
        <v>272926.5</v>
      </c>
      <c r="L126">
        <f t="shared" si="8"/>
        <v>37</v>
      </c>
      <c r="N126" s="19">
        <f t="shared" si="9"/>
        <v>7.0203195753831557E-3</v>
      </c>
    </row>
    <row r="127" spans="1:14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>
        <f>VLOOKUP(A127,Лист2!$A$1:$E$505, 3, 0)</f>
        <v>36</v>
      </c>
      <c r="F127" s="7">
        <f>VLOOKUP(A127,Лист2!$A$1:$E$505, 4, 0)</f>
        <v>4967</v>
      </c>
      <c r="G127" s="7">
        <f>VLOOKUP(A127,Лист2!$A$1:$E$505, 5, 0)</f>
        <v>4583</v>
      </c>
      <c r="H127" s="14">
        <f t="shared" si="5"/>
        <v>7179.416666666667</v>
      </c>
      <c r="I127">
        <f t="shared" si="6"/>
        <v>20</v>
      </c>
      <c r="K127" s="18">
        <f t="shared" si="7"/>
        <v>272926.5</v>
      </c>
      <c r="L127">
        <f t="shared" si="8"/>
        <v>37</v>
      </c>
      <c r="N127" s="19">
        <f t="shared" si="9"/>
        <v>7.0699529041532202E-3</v>
      </c>
    </row>
    <row r="128" spans="1:14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>
        <f>VLOOKUP(A128,Лист2!$A$1:$E$505, 3, 0)</f>
        <v>36</v>
      </c>
      <c r="F128" s="7">
        <f>VLOOKUP(A128,Лист2!$A$1:$E$505, 4, 0)</f>
        <v>4751</v>
      </c>
      <c r="G128" s="7">
        <f>VLOOKUP(A128,Лист2!$A$1:$E$505, 5, 0)</f>
        <v>4370</v>
      </c>
      <c r="H128" s="14">
        <f t="shared" si="5"/>
        <v>7613.416666666667</v>
      </c>
      <c r="I128">
        <f t="shared" si="6"/>
        <v>18</v>
      </c>
      <c r="K128" s="18">
        <f t="shared" si="7"/>
        <v>272926.5</v>
      </c>
      <c r="L128">
        <f t="shared" si="8"/>
        <v>37</v>
      </c>
      <c r="N128" s="19">
        <f t="shared" si="9"/>
        <v>7.1202930406141316E-3</v>
      </c>
    </row>
    <row r="129" spans="1:14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VLOOKUP(A129,Лист2!$A$1:$E$505, 3, 0)</f>
        <v>36</v>
      </c>
      <c r="F129" s="7">
        <f>VLOOKUP(A129,Лист2!$A$1:$E$505, 4, 0)</f>
        <v>4384</v>
      </c>
      <c r="G129" s="7">
        <f>VLOOKUP(A129,Лист2!$A$1:$E$505, 5, 0)</f>
        <v>4025</v>
      </c>
      <c r="H129" s="14">
        <f t="shared" si="5"/>
        <v>7708.666666666667</v>
      </c>
      <c r="I129">
        <f t="shared" si="6"/>
        <v>19</v>
      </c>
      <c r="K129" s="18">
        <f t="shared" si="7"/>
        <v>272926.5</v>
      </c>
      <c r="L129">
        <f t="shared" si="8"/>
        <v>37</v>
      </c>
      <c r="N129" s="19">
        <f t="shared" si="9"/>
        <v>7.1713551910729005E-3</v>
      </c>
    </row>
    <row r="130" spans="1:14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VLOOKUP(A130,Лист2!$A$1:$E$505, 3, 0)</f>
        <v>36</v>
      </c>
      <c r="F130" s="7">
        <f>VLOOKUP(A130,Лист2!$A$1:$E$505, 4, 0)</f>
        <v>5651</v>
      </c>
      <c r="G130" s="7">
        <f>VLOOKUP(A130,Лист2!$A$1:$E$505, 5, 0)</f>
        <v>5212</v>
      </c>
      <c r="H130" s="14">
        <f t="shared" si="5"/>
        <v>9916.1666666666661</v>
      </c>
      <c r="I130">
        <f t="shared" si="6"/>
        <v>21</v>
      </c>
      <c r="K130" s="18">
        <f t="shared" si="7"/>
        <v>272926.5</v>
      </c>
      <c r="L130">
        <f t="shared" si="8"/>
        <v>37</v>
      </c>
      <c r="N130" s="19">
        <f t="shared" si="9"/>
        <v>7.223155001186584E-3</v>
      </c>
    </row>
    <row r="131" spans="1:14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>
        <f>VLOOKUP(A131,Лист2!$A$1:$E$505, 3, 0)</f>
        <v>36</v>
      </c>
      <c r="F131" s="7">
        <f>VLOOKUP(A131,Лист2!$A$1:$E$505, 4, 0)</f>
        <v>4641</v>
      </c>
      <c r="G131" s="7">
        <f>VLOOKUP(A131,Лист2!$A$1:$E$505, 5, 0)</f>
        <v>4274</v>
      </c>
      <c r="H131" s="14">
        <f t="shared" ref="H131:H194" si="10">IF(E131&gt;0, C131 / E131, 0)</f>
        <v>7416.208333333333</v>
      </c>
      <c r="I131">
        <f t="shared" ref="I131:I194" si="11">WEEKNUM(A131,2)</f>
        <v>22</v>
      </c>
      <c r="K131" s="18">
        <f t="shared" ref="K131:K194" si="12">SUMIFS($C:$C,$B:$B,B131,$I:$I,$J$2)</f>
        <v>272926.5</v>
      </c>
      <c r="L131">
        <f t="shared" ref="L131:L194" si="13">SUMIFS($E:$E,$B:$B,B131,$I:$I,$J$2)</f>
        <v>37</v>
      </c>
      <c r="N131" s="19">
        <f t="shared" ref="N131:N194" si="14">K131/ SUM(K131:K634)</f>
        <v>7.2757085719452061E-3</v>
      </c>
    </row>
    <row r="132" spans="1:14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>
        <f>VLOOKUP(A132,Лист2!$A$1:$E$505, 3, 0)</f>
        <v>36</v>
      </c>
      <c r="F132" s="7">
        <f>VLOOKUP(A132,Лист2!$A$1:$E$505, 4, 0)</f>
        <v>5143</v>
      </c>
      <c r="G132" s="7">
        <f>VLOOKUP(A132,Лист2!$A$1:$E$505, 5, 0)</f>
        <v>4715</v>
      </c>
      <c r="H132" s="14">
        <f t="shared" si="10"/>
        <v>8642.5416666666661</v>
      </c>
      <c r="I132">
        <f t="shared" si="11"/>
        <v>18</v>
      </c>
      <c r="K132" s="18">
        <f t="shared" si="12"/>
        <v>272926.5</v>
      </c>
      <c r="L132">
        <f t="shared" si="13"/>
        <v>37</v>
      </c>
      <c r="N132" s="19">
        <f t="shared" si="14"/>
        <v>7.3290324763575047E-3</v>
      </c>
    </row>
    <row r="133" spans="1:14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VLOOKUP(A133,Лист2!$A$1:$E$505, 3, 0)</f>
        <v>36</v>
      </c>
      <c r="F133" s="7">
        <f>VLOOKUP(A133,Лист2!$A$1:$E$505, 4, 0)</f>
        <v>5746</v>
      </c>
      <c r="G133" s="7">
        <f>VLOOKUP(A133,Лист2!$A$1:$E$505, 5, 0)</f>
        <v>5277</v>
      </c>
      <c r="H133" s="14">
        <f t="shared" si="10"/>
        <v>7977.958333333333</v>
      </c>
      <c r="I133">
        <f t="shared" si="11"/>
        <v>19</v>
      </c>
      <c r="K133" s="18">
        <f t="shared" si="12"/>
        <v>272926.5</v>
      </c>
      <c r="L133">
        <f t="shared" si="13"/>
        <v>37</v>
      </c>
      <c r="N133" s="19">
        <f t="shared" si="14"/>
        <v>7.3831437768758449E-3</v>
      </c>
    </row>
    <row r="134" spans="1:14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>
        <f>VLOOKUP(A134,Лист2!$A$1:$E$505, 3, 0)</f>
        <v>36</v>
      </c>
      <c r="F134" s="7">
        <f>VLOOKUP(A134,Лист2!$A$1:$E$505, 4, 0)</f>
        <v>4199</v>
      </c>
      <c r="G134" s="7">
        <f>VLOOKUP(A134,Лист2!$A$1:$E$505, 5, 0)</f>
        <v>3867</v>
      </c>
      <c r="H134" s="14">
        <f t="shared" si="10"/>
        <v>10280.333333333334</v>
      </c>
      <c r="I134">
        <f t="shared" si="11"/>
        <v>19</v>
      </c>
      <c r="K134" s="18">
        <f t="shared" si="12"/>
        <v>272926.5</v>
      </c>
      <c r="L134">
        <f t="shared" si="13"/>
        <v>37</v>
      </c>
      <c r="N134" s="19">
        <f t="shared" si="14"/>
        <v>7.4380600435987702E-3</v>
      </c>
    </row>
    <row r="135" spans="1:14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>
        <f>VLOOKUP(A135,Лист2!$A$1:$E$505, 3, 0)</f>
        <v>36</v>
      </c>
      <c r="F135" s="7">
        <f>VLOOKUP(A135,Лист2!$A$1:$E$505, 4, 0)</f>
        <v>4826</v>
      </c>
      <c r="G135" s="7">
        <f>VLOOKUP(A135,Лист2!$A$1:$E$505, 5, 0)</f>
        <v>4426</v>
      </c>
      <c r="H135" s="14">
        <f t="shared" si="10"/>
        <v>6883.708333333333</v>
      </c>
      <c r="I135">
        <f t="shared" si="11"/>
        <v>19</v>
      </c>
      <c r="K135" s="18">
        <f t="shared" si="12"/>
        <v>272926.5</v>
      </c>
      <c r="L135">
        <f t="shared" si="13"/>
        <v>37</v>
      </c>
      <c r="N135" s="19">
        <f t="shared" si="14"/>
        <v>7.4937993732919986E-3</v>
      </c>
    </row>
    <row r="136" spans="1:14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>
        <f>VLOOKUP(A136,Лист2!$A$1:$E$505, 3, 0)</f>
        <v>36</v>
      </c>
      <c r="F136" s="7">
        <f>VLOOKUP(A136,Лист2!$A$1:$E$505, 4, 0)</f>
        <v>4915</v>
      </c>
      <c r="G136" s="7">
        <f>VLOOKUP(A136,Лист2!$A$1:$E$505, 5, 0)</f>
        <v>4562</v>
      </c>
      <c r="H136" s="14">
        <f t="shared" si="10"/>
        <v>7992.791666666667</v>
      </c>
      <c r="I136">
        <f t="shared" si="11"/>
        <v>21</v>
      </c>
      <c r="K136" s="18">
        <f t="shared" si="12"/>
        <v>272926.5</v>
      </c>
      <c r="L136">
        <f t="shared" si="13"/>
        <v>37</v>
      </c>
      <c r="N136" s="19">
        <f t="shared" si="14"/>
        <v>7.5503804092711107E-3</v>
      </c>
    </row>
    <row r="137" spans="1:14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>
        <f>VLOOKUP(A137,Лист2!$A$1:$E$505, 3, 0)</f>
        <v>36</v>
      </c>
      <c r="F137" s="7">
        <f>VLOOKUP(A137,Лист2!$A$1:$E$505, 4, 0)</f>
        <v>5286</v>
      </c>
      <c r="G137" s="7">
        <f>VLOOKUP(A137,Лист2!$A$1:$E$505, 5, 0)</f>
        <v>4867</v>
      </c>
      <c r="H137" s="14">
        <f t="shared" si="10"/>
        <v>11355.833333333334</v>
      </c>
      <c r="I137">
        <f t="shared" si="11"/>
        <v>20</v>
      </c>
      <c r="K137" s="18">
        <f t="shared" si="12"/>
        <v>349699.5</v>
      </c>
      <c r="L137">
        <f t="shared" si="13"/>
        <v>37</v>
      </c>
      <c r="N137" s="19">
        <f t="shared" si="14"/>
        <v>9.7478686611497892E-3</v>
      </c>
    </row>
    <row r="138" spans="1:14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>
        <f>VLOOKUP(A138,Лист2!$A$1:$E$505, 3, 0)</f>
        <v>36</v>
      </c>
      <c r="F138" s="7">
        <f>VLOOKUP(A138,Лист2!$A$1:$E$505, 4, 0)</f>
        <v>5094</v>
      </c>
      <c r="G138" s="7">
        <f>VLOOKUP(A138,Лист2!$A$1:$E$505, 5, 0)</f>
        <v>4716</v>
      </c>
      <c r="H138" s="14">
        <f t="shared" si="10"/>
        <v>10070.458333333334</v>
      </c>
      <c r="I138">
        <f t="shared" si="11"/>
        <v>21</v>
      </c>
      <c r="K138" s="18">
        <f t="shared" si="12"/>
        <v>349699.5</v>
      </c>
      <c r="L138">
        <f t="shared" si="13"/>
        <v>37</v>
      </c>
      <c r="N138" s="19">
        <f t="shared" si="14"/>
        <v>9.8438249741208649E-3</v>
      </c>
    </row>
    <row r="139" spans="1:14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>
        <f>VLOOKUP(A139,Лист2!$A$1:$E$505, 3, 0)</f>
        <v>36</v>
      </c>
      <c r="F139" s="7">
        <f>VLOOKUP(A139,Лист2!$A$1:$E$505, 4, 0)</f>
        <v>4918</v>
      </c>
      <c r="G139" s="7">
        <f>VLOOKUP(A139,Лист2!$A$1:$E$505, 5, 0)</f>
        <v>4554</v>
      </c>
      <c r="H139" s="14">
        <f t="shared" si="10"/>
        <v>9918.6666666666661</v>
      </c>
      <c r="I139">
        <f t="shared" si="11"/>
        <v>20</v>
      </c>
      <c r="K139" s="18">
        <f t="shared" si="12"/>
        <v>349699.5</v>
      </c>
      <c r="L139">
        <f t="shared" si="13"/>
        <v>37</v>
      </c>
      <c r="N139" s="19">
        <f t="shared" si="14"/>
        <v>9.9416892227769862E-3</v>
      </c>
    </row>
    <row r="140" spans="1:14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>
        <f>VLOOKUP(A140,Лист2!$A$1:$E$505, 3, 0)</f>
        <v>36</v>
      </c>
      <c r="F140" s="7">
        <f>VLOOKUP(A140,Лист2!$A$1:$E$505, 4, 0)</f>
        <v>5413</v>
      </c>
      <c r="G140" s="7">
        <f>VLOOKUP(A140,Лист2!$A$1:$E$505, 5, 0)</f>
        <v>4959</v>
      </c>
      <c r="H140" s="14">
        <f t="shared" si="10"/>
        <v>9978.1666666666661</v>
      </c>
      <c r="I140">
        <f t="shared" si="11"/>
        <v>19</v>
      </c>
      <c r="K140" s="18">
        <f t="shared" si="12"/>
        <v>349699.5</v>
      </c>
      <c r="L140">
        <f t="shared" si="13"/>
        <v>37</v>
      </c>
      <c r="N140" s="19">
        <f t="shared" si="14"/>
        <v>1.0041518882834775E-2</v>
      </c>
    </row>
    <row r="141" spans="1:14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>
        <f>VLOOKUP(A141,Лист2!$A$1:$E$505, 3, 0)</f>
        <v>36</v>
      </c>
      <c r="F141" s="7">
        <f>VLOOKUP(A141,Лист2!$A$1:$E$505, 4, 0)</f>
        <v>4508</v>
      </c>
      <c r="G141" s="7">
        <f>VLOOKUP(A141,Лист2!$A$1:$E$505, 5, 0)</f>
        <v>4149</v>
      </c>
      <c r="H141" s="14">
        <f t="shared" si="10"/>
        <v>10007.083333333334</v>
      </c>
      <c r="I141">
        <f t="shared" si="11"/>
        <v>19</v>
      </c>
      <c r="K141" s="18">
        <f t="shared" si="12"/>
        <v>349699.5</v>
      </c>
      <c r="L141">
        <f t="shared" si="13"/>
        <v>37</v>
      </c>
      <c r="N141" s="19">
        <f t="shared" si="14"/>
        <v>1.0143373762001565E-2</v>
      </c>
    </row>
    <row r="142" spans="1:14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>
        <f>VLOOKUP(A142,Лист2!$A$1:$E$505, 3, 0)</f>
        <v>36</v>
      </c>
      <c r="F142" s="7">
        <f>VLOOKUP(A142,Лист2!$A$1:$E$505, 4, 0)</f>
        <v>4937</v>
      </c>
      <c r="G142" s="7">
        <f>VLOOKUP(A142,Лист2!$A$1:$E$505, 5, 0)</f>
        <v>4561</v>
      </c>
      <c r="H142" s="14">
        <f t="shared" si="10"/>
        <v>10756.125</v>
      </c>
      <c r="I142">
        <f t="shared" si="11"/>
        <v>18</v>
      </c>
      <c r="K142" s="18">
        <f t="shared" si="12"/>
        <v>349699.5</v>
      </c>
      <c r="L142">
        <f t="shared" si="13"/>
        <v>37</v>
      </c>
      <c r="N142" s="19">
        <f t="shared" si="14"/>
        <v>1.0247316119458618E-2</v>
      </c>
    </row>
    <row r="143" spans="1:14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>
        <f>VLOOKUP(A143,Лист2!$A$1:$E$505, 3, 0)</f>
        <v>36</v>
      </c>
      <c r="F143" s="7">
        <f>VLOOKUP(A143,Лист2!$A$1:$E$505, 4, 0)</f>
        <v>3442</v>
      </c>
      <c r="G143" s="7">
        <f>VLOOKUP(A143,Лист2!$A$1:$E$505, 5, 0)</f>
        <v>3147</v>
      </c>
      <c r="H143" s="14">
        <f t="shared" si="10"/>
        <v>8238.3333333333339</v>
      </c>
      <c r="I143">
        <f t="shared" si="11"/>
        <v>18</v>
      </c>
      <c r="K143" s="18">
        <f t="shared" si="12"/>
        <v>349699.5</v>
      </c>
      <c r="L143">
        <f t="shared" si="13"/>
        <v>37</v>
      </c>
      <c r="N143" s="19">
        <f t="shared" si="14"/>
        <v>1.0353410792766712E-2</v>
      </c>
    </row>
    <row r="144" spans="1:14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>
        <f>VLOOKUP(A144,Лист2!$A$1:$E$505, 3, 0)</f>
        <v>36</v>
      </c>
      <c r="F144" s="7">
        <f>VLOOKUP(A144,Лист2!$A$1:$E$505, 4, 0)</f>
        <v>4770</v>
      </c>
      <c r="G144" s="7">
        <f>VLOOKUP(A144,Лист2!$A$1:$E$505, 5, 0)</f>
        <v>4424</v>
      </c>
      <c r="H144" s="14">
        <f t="shared" si="10"/>
        <v>10273.916666666666</v>
      </c>
      <c r="I144">
        <f t="shared" si="11"/>
        <v>22</v>
      </c>
      <c r="K144" s="18">
        <f t="shared" si="12"/>
        <v>349699.5</v>
      </c>
      <c r="L144">
        <f t="shared" si="13"/>
        <v>37</v>
      </c>
      <c r="N144" s="19">
        <f t="shared" si="14"/>
        <v>1.0461725332737639E-2</v>
      </c>
    </row>
    <row r="145" spans="1:14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>
        <f>VLOOKUP(A145,Лист2!$A$1:$E$505, 3, 0)</f>
        <v>36</v>
      </c>
      <c r="F145" s="7">
        <f>VLOOKUP(A145,Лист2!$A$1:$E$505, 4, 0)</f>
        <v>5457</v>
      </c>
      <c r="G145" s="7">
        <f>VLOOKUP(A145,Лист2!$A$1:$E$505, 5, 0)</f>
        <v>4916</v>
      </c>
      <c r="H145" s="14">
        <f t="shared" si="10"/>
        <v>10347.333333333334</v>
      </c>
      <c r="I145">
        <f t="shared" si="11"/>
        <v>18</v>
      </c>
      <c r="K145" s="18">
        <f t="shared" si="12"/>
        <v>349699.5</v>
      </c>
      <c r="L145">
        <f t="shared" si="13"/>
        <v>37</v>
      </c>
      <c r="N145" s="19">
        <f t="shared" si="14"/>
        <v>1.0572330146861122E-2</v>
      </c>
    </row>
    <row r="146" spans="1:14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>
        <f>VLOOKUP(A146,Лист2!$A$1:$E$505, 3, 0)</f>
        <v>36</v>
      </c>
      <c r="F146" s="7">
        <f>VLOOKUP(A146,Лист2!$A$1:$E$505, 4, 0)</f>
        <v>4418</v>
      </c>
      <c r="G146" s="7">
        <f>VLOOKUP(A146,Лист2!$A$1:$E$505, 5, 0)</f>
        <v>4088</v>
      </c>
      <c r="H146" s="14">
        <f t="shared" si="10"/>
        <v>10372</v>
      </c>
      <c r="I146">
        <f t="shared" si="11"/>
        <v>20</v>
      </c>
      <c r="K146" s="18">
        <f t="shared" si="12"/>
        <v>349699.5</v>
      </c>
      <c r="L146">
        <f t="shared" si="13"/>
        <v>37</v>
      </c>
      <c r="N146" s="19">
        <f t="shared" si="14"/>
        <v>1.0685298651927105E-2</v>
      </c>
    </row>
    <row r="147" spans="1:14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>
        <f>VLOOKUP(A147,Лист2!$A$1:$E$505, 3, 0)</f>
        <v>36</v>
      </c>
      <c r="F147" s="7">
        <f>VLOOKUP(A147,Лист2!$A$1:$E$505, 4, 0)</f>
        <v>4816</v>
      </c>
      <c r="G147" s="7">
        <f>VLOOKUP(A147,Лист2!$A$1:$E$505, 5, 0)</f>
        <v>4452</v>
      </c>
      <c r="H147" s="14">
        <f t="shared" si="10"/>
        <v>10501.208333333334</v>
      </c>
      <c r="I147">
        <f t="shared" si="11"/>
        <v>21</v>
      </c>
      <c r="K147" s="18">
        <f t="shared" si="12"/>
        <v>349699.5</v>
      </c>
      <c r="L147">
        <f t="shared" si="13"/>
        <v>37</v>
      </c>
      <c r="N147" s="19">
        <f t="shared" si="14"/>
        <v>1.080070743653861E-2</v>
      </c>
    </row>
    <row r="148" spans="1:14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>
        <f>VLOOKUP(A148,Лист2!$A$1:$E$505, 3, 0)</f>
        <v>36</v>
      </c>
      <c r="F148" s="7">
        <f>VLOOKUP(A148,Лист2!$A$1:$E$505, 4, 0)</f>
        <v>5914</v>
      </c>
      <c r="G148" s="7">
        <f>VLOOKUP(A148,Лист2!$A$1:$E$505, 5, 0)</f>
        <v>5384</v>
      </c>
      <c r="H148" s="14">
        <f t="shared" si="10"/>
        <v>10796.333333333334</v>
      </c>
      <c r="I148">
        <f t="shared" si="11"/>
        <v>21</v>
      </c>
      <c r="K148" s="18">
        <f t="shared" si="12"/>
        <v>349699.5</v>
      </c>
      <c r="L148">
        <f t="shared" si="13"/>
        <v>37</v>
      </c>
      <c r="N148" s="19">
        <f t="shared" si="14"/>
        <v>1.0918636434271104E-2</v>
      </c>
    </row>
    <row r="149" spans="1:14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>
        <f>VLOOKUP(A149,Лист2!$A$1:$E$505, 3, 0)</f>
        <v>36</v>
      </c>
      <c r="F149" s="7">
        <f>VLOOKUP(A149,Лист2!$A$1:$E$505, 4, 0)</f>
        <v>4575</v>
      </c>
      <c r="G149" s="7">
        <f>VLOOKUP(A149,Лист2!$A$1:$E$505, 5, 0)</f>
        <v>4206</v>
      </c>
      <c r="H149" s="14">
        <f t="shared" si="10"/>
        <v>9272</v>
      </c>
      <c r="I149">
        <f t="shared" si="11"/>
        <v>19</v>
      </c>
      <c r="K149" s="18">
        <f t="shared" si="12"/>
        <v>349699.5</v>
      </c>
      <c r="L149">
        <f t="shared" si="13"/>
        <v>37</v>
      </c>
      <c r="N149" s="19">
        <f t="shared" si="14"/>
        <v>1.103916910830108E-2</v>
      </c>
    </row>
    <row r="150" spans="1:14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>
        <f>VLOOKUP(A150,Лист2!$A$1:$E$505, 3, 0)</f>
        <v>36</v>
      </c>
      <c r="F150" s="7">
        <f>VLOOKUP(A150,Лист2!$A$1:$E$505, 4, 0)</f>
        <v>4923</v>
      </c>
      <c r="G150" s="7">
        <f>VLOOKUP(A150,Лист2!$A$1:$E$505, 5, 0)</f>
        <v>4560</v>
      </c>
      <c r="H150" s="14">
        <f t="shared" si="10"/>
        <v>10446.125</v>
      </c>
      <c r="I150">
        <f t="shared" si="11"/>
        <v>18</v>
      </c>
      <c r="K150" s="18">
        <f t="shared" si="12"/>
        <v>349699.5</v>
      </c>
      <c r="L150">
        <f t="shared" si="13"/>
        <v>37</v>
      </c>
      <c r="N150" s="19">
        <f t="shared" si="14"/>
        <v>1.1162392648400025E-2</v>
      </c>
    </row>
    <row r="151" spans="1:14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>
        <f>VLOOKUP(A151,Лист2!$A$1:$E$505, 3, 0)</f>
        <v>36</v>
      </c>
      <c r="F151" s="7">
        <f>VLOOKUP(A151,Лист2!$A$1:$E$505, 4, 0)</f>
        <v>4967</v>
      </c>
      <c r="G151" s="7">
        <f>VLOOKUP(A151,Лист2!$A$1:$E$505, 5, 0)</f>
        <v>4583</v>
      </c>
      <c r="H151" s="14">
        <f t="shared" si="10"/>
        <v>9724.125</v>
      </c>
      <c r="I151">
        <f t="shared" si="11"/>
        <v>20</v>
      </c>
      <c r="K151" s="18">
        <f t="shared" si="12"/>
        <v>349699.5</v>
      </c>
      <c r="L151">
        <f t="shared" si="13"/>
        <v>37</v>
      </c>
      <c r="N151" s="19">
        <f t="shared" si="14"/>
        <v>1.1288398181270856E-2</v>
      </c>
    </row>
    <row r="152" spans="1:14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>
        <f>VLOOKUP(A152,Лист2!$A$1:$E$505, 3, 0)</f>
        <v>37</v>
      </c>
      <c r="F152" s="7">
        <f>VLOOKUP(A152,Лист2!$A$1:$E$505, 4, 0)</f>
        <v>5215</v>
      </c>
      <c r="G152" s="7">
        <f>VLOOKUP(A152,Лист2!$A$1:$E$505, 5, 0)</f>
        <v>4848</v>
      </c>
      <c r="H152" s="14">
        <f t="shared" si="10"/>
        <v>7955.0675675675675</v>
      </c>
      <c r="I152">
        <f t="shared" si="11"/>
        <v>22</v>
      </c>
      <c r="K152" s="18">
        <f t="shared" si="12"/>
        <v>272926.5</v>
      </c>
      <c r="L152">
        <f t="shared" si="13"/>
        <v>37</v>
      </c>
      <c r="N152" s="19">
        <f t="shared" si="14"/>
        <v>8.910732047263106E-3</v>
      </c>
    </row>
    <row r="153" spans="1:14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>
        <f>VLOOKUP(A153,Лист2!$A$1:$E$505, 3, 0)</f>
        <v>36</v>
      </c>
      <c r="F153" s="7">
        <f>VLOOKUP(A153,Лист2!$A$1:$E$505, 4, 0)</f>
        <v>4751</v>
      </c>
      <c r="G153" s="7">
        <f>VLOOKUP(A153,Лист2!$A$1:$E$505, 5, 0)</f>
        <v>4370</v>
      </c>
      <c r="H153" s="14">
        <f t="shared" si="10"/>
        <v>9518.5</v>
      </c>
      <c r="I153">
        <f t="shared" si="11"/>
        <v>18</v>
      </c>
      <c r="K153" s="18">
        <f t="shared" si="12"/>
        <v>349699.5</v>
      </c>
      <c r="L153">
        <f t="shared" si="13"/>
        <v>37</v>
      </c>
      <c r="N153" s="19">
        <f t="shared" si="14"/>
        <v>1.1519932022750597E-2</v>
      </c>
    </row>
    <row r="154" spans="1:14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>
        <f>VLOOKUP(A154,Лист2!$A$1:$E$505, 3, 0)</f>
        <v>37</v>
      </c>
      <c r="F154" s="7">
        <f>VLOOKUP(A154,Лист2!$A$1:$E$505, 4, 0)</f>
        <v>6645</v>
      </c>
      <c r="G154" s="7">
        <f>VLOOKUP(A154,Лист2!$A$1:$E$505, 5, 0)</f>
        <v>6122</v>
      </c>
      <c r="H154" s="14">
        <f t="shared" si="10"/>
        <v>9861.6891891891901</v>
      </c>
      <c r="I154">
        <f t="shared" si="11"/>
        <v>22</v>
      </c>
      <c r="K154" s="18">
        <f t="shared" si="12"/>
        <v>272926.5</v>
      </c>
      <c r="L154">
        <f t="shared" si="13"/>
        <v>37</v>
      </c>
      <c r="N154" s="19">
        <f t="shared" si="14"/>
        <v>9.0956280937837843E-3</v>
      </c>
    </row>
    <row r="155" spans="1:14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>
        <f>VLOOKUP(A155,Лист2!$A$1:$E$505, 3, 0)</f>
        <v>36</v>
      </c>
      <c r="F155" s="7">
        <f>VLOOKUP(A155,Лист2!$A$1:$E$505, 4, 0)</f>
        <v>4384</v>
      </c>
      <c r="G155" s="7">
        <f>VLOOKUP(A155,Лист2!$A$1:$E$505, 5, 0)</f>
        <v>4025</v>
      </c>
      <c r="H155" s="14">
        <f t="shared" si="10"/>
        <v>9868.8333333333339</v>
      </c>
      <c r="I155">
        <f t="shared" si="11"/>
        <v>19</v>
      </c>
      <c r="K155" s="18">
        <f t="shared" si="12"/>
        <v>349699.5</v>
      </c>
      <c r="L155">
        <f t="shared" si="13"/>
        <v>37</v>
      </c>
      <c r="N155" s="19">
        <f t="shared" si="14"/>
        <v>1.1761162631433576E-2</v>
      </c>
    </row>
    <row r="156" spans="1:14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>
        <f>VLOOKUP(A156,Лист2!$A$1:$E$505, 3, 0)</f>
        <v>36</v>
      </c>
      <c r="F156" s="7">
        <f>VLOOKUP(A156,Лист2!$A$1:$E$505, 4, 0)</f>
        <v>5651</v>
      </c>
      <c r="G156" s="7">
        <f>VLOOKUP(A156,Лист2!$A$1:$E$505, 5, 0)</f>
        <v>5212</v>
      </c>
      <c r="H156" s="14">
        <f t="shared" si="10"/>
        <v>12691.25</v>
      </c>
      <c r="I156">
        <f t="shared" si="11"/>
        <v>21</v>
      </c>
      <c r="K156" s="18">
        <f t="shared" si="12"/>
        <v>349699.5</v>
      </c>
      <c r="L156">
        <f t="shared" si="13"/>
        <v>37</v>
      </c>
      <c r="N156" s="19">
        <f t="shared" si="14"/>
        <v>1.190113380157232E-2</v>
      </c>
    </row>
    <row r="157" spans="1:14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>
        <f>VLOOKUP(A157,Лист2!$A$1:$E$505, 3, 0)</f>
        <v>37</v>
      </c>
      <c r="F157" s="7">
        <f>VLOOKUP(A157,Лист2!$A$1:$E$505, 4, 0)</f>
        <v>4840</v>
      </c>
      <c r="G157" s="7">
        <f>VLOOKUP(A157,Лист2!$A$1:$E$505, 5, 0)</f>
        <v>4475</v>
      </c>
      <c r="H157" s="14">
        <f t="shared" si="10"/>
        <v>7526.7972972972975</v>
      </c>
      <c r="I157">
        <f t="shared" si="11"/>
        <v>22</v>
      </c>
      <c r="K157" s="18">
        <f t="shared" si="12"/>
        <v>272926.5</v>
      </c>
      <c r="L157">
        <f t="shared" si="13"/>
        <v>37</v>
      </c>
      <c r="N157" s="19">
        <f t="shared" si="14"/>
        <v>9.4002332815612977E-3</v>
      </c>
    </row>
    <row r="158" spans="1:14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>
        <f>VLOOKUP(A158,Лист2!$A$1:$E$505, 3, 0)</f>
        <v>36</v>
      </c>
      <c r="F158" s="7">
        <f>VLOOKUP(A158,Лист2!$A$1:$E$505, 4, 0)</f>
        <v>4641</v>
      </c>
      <c r="G158" s="7">
        <f>VLOOKUP(A158,Лист2!$A$1:$E$505, 5, 0)</f>
        <v>4274</v>
      </c>
      <c r="H158" s="14">
        <f t="shared" si="10"/>
        <v>9714.8333333333339</v>
      </c>
      <c r="I158">
        <f t="shared" si="11"/>
        <v>22</v>
      </c>
      <c r="K158" s="18">
        <f t="shared" si="12"/>
        <v>349699.5</v>
      </c>
      <c r="L158">
        <f t="shared" si="13"/>
        <v>37</v>
      </c>
      <c r="N158" s="19">
        <f t="shared" si="14"/>
        <v>1.2158772024158892E-2</v>
      </c>
    </row>
    <row r="159" spans="1:14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>
        <f>VLOOKUP(A159,Лист2!$A$1:$E$505, 3, 0)</f>
        <v>36</v>
      </c>
      <c r="F159" s="7">
        <f>VLOOKUP(A159,Лист2!$A$1:$E$505, 4, 0)</f>
        <v>5143</v>
      </c>
      <c r="G159" s="7">
        <f>VLOOKUP(A159,Лист2!$A$1:$E$505, 5, 0)</f>
        <v>4715</v>
      </c>
      <c r="H159" s="14">
        <f t="shared" si="10"/>
        <v>11155</v>
      </c>
      <c r="I159">
        <f t="shared" si="11"/>
        <v>18</v>
      </c>
      <c r="K159" s="18">
        <f t="shared" si="12"/>
        <v>349699.5</v>
      </c>
      <c r="L159">
        <f t="shared" si="13"/>
        <v>37</v>
      </c>
      <c r="N159" s="19">
        <f t="shared" si="14"/>
        <v>1.2308427386730056E-2</v>
      </c>
    </row>
    <row r="160" spans="1:14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>
        <f>VLOOKUP(A160,Лист2!$A$1:$E$505, 3, 0)</f>
        <v>36</v>
      </c>
      <c r="F160" s="7">
        <f>VLOOKUP(A160,Лист2!$A$1:$E$505, 4, 0)</f>
        <v>5746</v>
      </c>
      <c r="G160" s="7">
        <f>VLOOKUP(A160,Лист2!$A$1:$E$505, 5, 0)</f>
        <v>5277</v>
      </c>
      <c r="H160" s="14">
        <f t="shared" si="10"/>
        <v>10240.25</v>
      </c>
      <c r="I160">
        <f t="shared" si="11"/>
        <v>19</v>
      </c>
      <c r="K160" s="18">
        <f t="shared" si="12"/>
        <v>349699.5</v>
      </c>
      <c r="L160">
        <f t="shared" si="13"/>
        <v>37</v>
      </c>
      <c r="N160" s="19">
        <f t="shared" si="14"/>
        <v>1.2461812703498094E-2</v>
      </c>
    </row>
    <row r="161" spans="1:14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>
        <f>VLOOKUP(A161,Лист2!$A$1:$E$505, 3, 0)</f>
        <v>36</v>
      </c>
      <c r="F161" s="7">
        <f>VLOOKUP(A161,Лист2!$A$1:$E$505, 4, 0)</f>
        <v>4199</v>
      </c>
      <c r="G161" s="7">
        <f>VLOOKUP(A161,Лист2!$A$1:$E$505, 5, 0)</f>
        <v>3867</v>
      </c>
      <c r="H161" s="14">
        <f t="shared" si="10"/>
        <v>12875.833333333334</v>
      </c>
      <c r="I161">
        <f t="shared" si="11"/>
        <v>19</v>
      </c>
      <c r="K161" s="18">
        <f t="shared" si="12"/>
        <v>349699.5</v>
      </c>
      <c r="L161">
        <f t="shared" si="13"/>
        <v>37</v>
      </c>
      <c r="N161" s="19">
        <f t="shared" si="14"/>
        <v>1.2619069180113148E-2</v>
      </c>
    </row>
    <row r="162" spans="1:14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>
        <f>VLOOKUP(A162,Лист2!$A$1:$E$505, 3, 0)</f>
        <v>36</v>
      </c>
      <c r="F162" s="7">
        <f>VLOOKUP(A162,Лист2!$A$1:$E$505, 4, 0)</f>
        <v>4826</v>
      </c>
      <c r="G162" s="7">
        <f>VLOOKUP(A162,Лист2!$A$1:$E$505, 5, 0)</f>
        <v>4426</v>
      </c>
      <c r="H162" s="14">
        <f t="shared" si="10"/>
        <v>8864.1666666666661</v>
      </c>
      <c r="I162">
        <f t="shared" si="11"/>
        <v>19</v>
      </c>
      <c r="K162" s="18">
        <f t="shared" si="12"/>
        <v>349699.5</v>
      </c>
      <c r="L162">
        <f t="shared" si="13"/>
        <v>37</v>
      </c>
      <c r="N162" s="19">
        <f t="shared" si="14"/>
        <v>1.2780345240853206E-2</v>
      </c>
    </row>
    <row r="163" spans="1:14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>
        <f>VLOOKUP(A163,Лист2!$A$1:$E$505, 3, 0)</f>
        <v>36</v>
      </c>
      <c r="F163" s="7">
        <f>VLOOKUP(A163,Лист2!$A$1:$E$505, 4, 0)</f>
        <v>4915</v>
      </c>
      <c r="G163" s="7">
        <f>VLOOKUP(A163,Лист2!$A$1:$E$505, 5, 0)</f>
        <v>4562</v>
      </c>
      <c r="H163" s="14">
        <f t="shared" si="10"/>
        <v>10437.333333333334</v>
      </c>
      <c r="I163">
        <f t="shared" si="11"/>
        <v>21</v>
      </c>
      <c r="K163" s="18">
        <f t="shared" si="12"/>
        <v>349699.5</v>
      </c>
      <c r="L163">
        <f t="shared" si="13"/>
        <v>37</v>
      </c>
      <c r="N163" s="19">
        <f t="shared" si="14"/>
        <v>1.2945796995878533E-2</v>
      </c>
    </row>
    <row r="164" spans="1:14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>
        <f>VLOOKUP(A164,Лист2!$A$1:$E$505, 3, 0)</f>
        <v>36</v>
      </c>
      <c r="F164" s="7">
        <f>VLOOKUP(A164,Лист2!$A$1:$E$505, 4, 0)</f>
        <v>5286</v>
      </c>
      <c r="G164" s="7">
        <f>VLOOKUP(A164,Лист2!$A$1:$E$505, 5, 0)</f>
        <v>4867</v>
      </c>
      <c r="H164" s="14">
        <f t="shared" si="10"/>
        <v>2259.2083333333335</v>
      </c>
      <c r="I164">
        <f t="shared" si="11"/>
        <v>20</v>
      </c>
      <c r="K164" s="18">
        <f t="shared" si="12"/>
        <v>64740</v>
      </c>
      <c r="L164">
        <f t="shared" si="13"/>
        <v>37</v>
      </c>
      <c r="N164" s="19">
        <f t="shared" si="14"/>
        <v>2.4280938787955846E-3</v>
      </c>
    </row>
    <row r="165" spans="1:14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>
        <f>VLOOKUP(A165,Лист2!$A$1:$E$505, 3, 0)</f>
        <v>36</v>
      </c>
      <c r="F165" s="7">
        <f>VLOOKUP(A165,Лист2!$A$1:$E$505, 4, 0)</f>
        <v>5094</v>
      </c>
      <c r="G165" s="7">
        <f>VLOOKUP(A165,Лист2!$A$1:$E$505, 5, 0)</f>
        <v>4716</v>
      </c>
      <c r="H165" s="14">
        <f t="shared" si="10"/>
        <v>2105.4583333333335</v>
      </c>
      <c r="I165">
        <f t="shared" si="11"/>
        <v>21</v>
      </c>
      <c r="K165" s="18">
        <f t="shared" si="12"/>
        <v>64740</v>
      </c>
      <c r="L165">
        <f t="shared" si="13"/>
        <v>37</v>
      </c>
      <c r="N165" s="19">
        <f t="shared" si="14"/>
        <v>2.4340038686901156E-3</v>
      </c>
    </row>
    <row r="166" spans="1:14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>
        <f>VLOOKUP(A166,Лист2!$A$1:$E$505, 3, 0)</f>
        <v>36</v>
      </c>
      <c r="F166" s="7">
        <f>VLOOKUP(A166,Лист2!$A$1:$E$505, 4, 0)</f>
        <v>4918</v>
      </c>
      <c r="G166" s="7">
        <f>VLOOKUP(A166,Лист2!$A$1:$E$505, 5, 0)</f>
        <v>4554</v>
      </c>
      <c r="H166" s="14">
        <f t="shared" si="10"/>
        <v>2023.9166666666667</v>
      </c>
      <c r="I166">
        <f t="shared" si="11"/>
        <v>20</v>
      </c>
      <c r="K166" s="18">
        <f t="shared" si="12"/>
        <v>64740</v>
      </c>
      <c r="L166">
        <f t="shared" si="13"/>
        <v>37</v>
      </c>
      <c r="N166" s="19">
        <f t="shared" si="14"/>
        <v>2.4399426986580317E-3</v>
      </c>
    </row>
    <row r="167" spans="1:14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>
        <f>VLOOKUP(A167,Лист2!$A$1:$E$505, 3, 0)</f>
        <v>36</v>
      </c>
      <c r="F167" s="7">
        <f>VLOOKUP(A167,Лист2!$A$1:$E$505, 4, 0)</f>
        <v>5413</v>
      </c>
      <c r="G167" s="7">
        <f>VLOOKUP(A167,Лист2!$A$1:$E$505, 5, 0)</f>
        <v>4959</v>
      </c>
      <c r="H167" s="14">
        <f t="shared" si="10"/>
        <v>2315.9166666666665</v>
      </c>
      <c r="I167">
        <f t="shared" si="11"/>
        <v>19</v>
      </c>
      <c r="K167" s="18">
        <f t="shared" si="12"/>
        <v>64740</v>
      </c>
      <c r="L167">
        <f t="shared" si="13"/>
        <v>37</v>
      </c>
      <c r="N167" s="19">
        <f t="shared" si="14"/>
        <v>2.4459105803200537E-3</v>
      </c>
    </row>
    <row r="168" spans="1:14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>
        <f>VLOOKUP(A168,Лист2!$A$1:$E$505, 3, 0)</f>
        <v>36</v>
      </c>
      <c r="F168" s="7">
        <f>VLOOKUP(A168,Лист2!$A$1:$E$505, 4, 0)</f>
        <v>4508</v>
      </c>
      <c r="G168" s="7">
        <f>VLOOKUP(A168,Лист2!$A$1:$E$505, 5, 0)</f>
        <v>4149</v>
      </c>
      <c r="H168" s="14">
        <f t="shared" si="10"/>
        <v>1780.7916666666667</v>
      </c>
      <c r="I168">
        <f t="shared" si="11"/>
        <v>19</v>
      </c>
      <c r="K168" s="18">
        <f t="shared" si="12"/>
        <v>64740</v>
      </c>
      <c r="L168">
        <f t="shared" si="13"/>
        <v>37</v>
      </c>
      <c r="N168" s="19">
        <f t="shared" si="14"/>
        <v>2.4519077273724025E-3</v>
      </c>
    </row>
    <row r="169" spans="1:14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>
        <f>VLOOKUP(A169,Лист2!$A$1:$E$505, 3, 0)</f>
        <v>36</v>
      </c>
      <c r="F169" s="7">
        <f>VLOOKUP(A169,Лист2!$A$1:$E$505, 4, 0)</f>
        <v>4937</v>
      </c>
      <c r="G169" s="7">
        <f>VLOOKUP(A169,Лист2!$A$1:$E$505, 5, 0)</f>
        <v>4561</v>
      </c>
      <c r="H169" s="14">
        <f t="shared" si="10"/>
        <v>2075.2083333333335</v>
      </c>
      <c r="I169">
        <f t="shared" si="11"/>
        <v>18</v>
      </c>
      <c r="K169" s="18">
        <f t="shared" si="12"/>
        <v>64740</v>
      </c>
      <c r="L169">
        <f t="shared" si="13"/>
        <v>37</v>
      </c>
      <c r="N169" s="19">
        <f t="shared" si="14"/>
        <v>2.4579343556123024E-3</v>
      </c>
    </row>
    <row r="170" spans="1:14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>
        <f>VLOOKUP(A170,Лист2!$A$1:$E$505, 3, 0)</f>
        <v>36</v>
      </c>
      <c r="F170" s="7">
        <f>VLOOKUP(A170,Лист2!$A$1:$E$505, 4, 0)</f>
        <v>3442</v>
      </c>
      <c r="G170" s="7">
        <f>VLOOKUP(A170,Лист2!$A$1:$E$505, 5, 0)</f>
        <v>3147</v>
      </c>
      <c r="H170" s="14">
        <f t="shared" si="10"/>
        <v>1283.7916666666667</v>
      </c>
      <c r="I170">
        <f t="shared" si="11"/>
        <v>18</v>
      </c>
      <c r="K170" s="18">
        <f t="shared" si="12"/>
        <v>64740</v>
      </c>
      <c r="L170">
        <f t="shared" si="13"/>
        <v>37</v>
      </c>
      <c r="N170" s="19">
        <f t="shared" si="14"/>
        <v>2.4639906829638679E-3</v>
      </c>
    </row>
    <row r="171" spans="1:14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>
        <f>VLOOKUP(A171,Лист2!$A$1:$E$505, 3, 0)</f>
        <v>36</v>
      </c>
      <c r="F171" s="7">
        <f>VLOOKUP(A171,Лист2!$A$1:$E$505, 4, 0)</f>
        <v>4770</v>
      </c>
      <c r="G171" s="7">
        <f>VLOOKUP(A171,Лист2!$A$1:$E$505, 5, 0)</f>
        <v>4424</v>
      </c>
      <c r="H171" s="14">
        <f t="shared" si="10"/>
        <v>1881.2916666666667</v>
      </c>
      <c r="I171">
        <f t="shared" si="11"/>
        <v>22</v>
      </c>
      <c r="K171" s="18">
        <f t="shared" si="12"/>
        <v>64740</v>
      </c>
      <c r="L171">
        <f t="shared" si="13"/>
        <v>37</v>
      </c>
      <c r="N171" s="19">
        <f t="shared" si="14"/>
        <v>2.4700769295043709E-3</v>
      </c>
    </row>
    <row r="172" spans="1:14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>
        <f>VLOOKUP(A172,Лист2!$A$1:$E$505, 3, 0)</f>
        <v>36</v>
      </c>
      <c r="F172" s="7">
        <f>VLOOKUP(A172,Лист2!$A$1:$E$505, 4, 0)</f>
        <v>5457</v>
      </c>
      <c r="G172" s="7">
        <f>VLOOKUP(A172,Лист2!$A$1:$E$505, 5, 0)</f>
        <v>4916</v>
      </c>
      <c r="H172" s="14">
        <f t="shared" si="10"/>
        <v>2284.125</v>
      </c>
      <c r="I172">
        <f t="shared" si="11"/>
        <v>18</v>
      </c>
      <c r="K172" s="18">
        <f t="shared" si="12"/>
        <v>64740</v>
      </c>
      <c r="L172">
        <f t="shared" si="13"/>
        <v>37</v>
      </c>
      <c r="N172" s="19">
        <f t="shared" si="14"/>
        <v>2.476193317490898E-3</v>
      </c>
    </row>
    <row r="173" spans="1:14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>
        <f>VLOOKUP(A173,Лист2!$A$1:$E$505, 3, 0)</f>
        <v>36</v>
      </c>
      <c r="F173" s="7">
        <f>VLOOKUP(A173,Лист2!$A$1:$E$505, 4, 0)</f>
        <v>4418</v>
      </c>
      <c r="G173" s="7">
        <f>VLOOKUP(A173,Лист2!$A$1:$E$505, 5, 0)</f>
        <v>4088</v>
      </c>
      <c r="H173" s="14">
        <f t="shared" si="10"/>
        <v>1788.625</v>
      </c>
      <c r="I173">
        <f t="shared" si="11"/>
        <v>20</v>
      </c>
      <c r="K173" s="18">
        <f t="shared" si="12"/>
        <v>64740</v>
      </c>
      <c r="L173">
        <f t="shared" si="13"/>
        <v>37</v>
      </c>
      <c r="N173" s="19">
        <f t="shared" si="14"/>
        <v>2.4823400713874073E-3</v>
      </c>
    </row>
    <row r="174" spans="1:14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>
        <f>VLOOKUP(A174,Лист2!$A$1:$E$505, 3, 0)</f>
        <v>36</v>
      </c>
      <c r="F174" s="7">
        <f>VLOOKUP(A174,Лист2!$A$1:$E$505, 4, 0)</f>
        <v>4816</v>
      </c>
      <c r="G174" s="7">
        <f>VLOOKUP(A174,Лист2!$A$1:$E$505, 5, 0)</f>
        <v>4452</v>
      </c>
      <c r="H174" s="14">
        <f t="shared" si="10"/>
        <v>2031.2916666666667</v>
      </c>
      <c r="I174">
        <f t="shared" si="11"/>
        <v>21</v>
      </c>
      <c r="K174" s="18">
        <f t="shared" si="12"/>
        <v>64740</v>
      </c>
      <c r="L174">
        <f t="shared" si="13"/>
        <v>37</v>
      </c>
      <c r="N174" s="19">
        <f t="shared" si="14"/>
        <v>2.4885174178921866E-3</v>
      </c>
    </row>
    <row r="175" spans="1:14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>
        <f>VLOOKUP(A175,Лист2!$A$1:$E$505, 3, 0)</f>
        <v>36</v>
      </c>
      <c r="F175" s="7">
        <f>VLOOKUP(A175,Лист2!$A$1:$E$505, 4, 0)</f>
        <v>5914</v>
      </c>
      <c r="G175" s="7">
        <f>VLOOKUP(A175,Лист2!$A$1:$E$505, 5, 0)</f>
        <v>5384</v>
      </c>
      <c r="H175" s="14">
        <f t="shared" si="10"/>
        <v>2767.5416666666665</v>
      </c>
      <c r="I175">
        <f t="shared" si="11"/>
        <v>21</v>
      </c>
      <c r="K175" s="18">
        <f t="shared" si="12"/>
        <v>64740</v>
      </c>
      <c r="L175">
        <f t="shared" si="13"/>
        <v>37</v>
      </c>
      <c r="N175" s="19">
        <f t="shared" si="14"/>
        <v>2.4947255859657236E-3</v>
      </c>
    </row>
    <row r="176" spans="1:14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>
        <f>VLOOKUP(A176,Лист2!$A$1:$E$505, 3, 0)</f>
        <v>36</v>
      </c>
      <c r="F176" s="7">
        <f>VLOOKUP(A176,Лист2!$A$1:$E$505, 4, 0)</f>
        <v>4575</v>
      </c>
      <c r="G176" s="7">
        <f>VLOOKUP(A176,Лист2!$A$1:$E$505, 5, 0)</f>
        <v>4206</v>
      </c>
      <c r="H176" s="14">
        <f t="shared" si="10"/>
        <v>1844.3333333333333</v>
      </c>
      <c r="I176">
        <f t="shared" si="11"/>
        <v>19</v>
      </c>
      <c r="K176" s="18">
        <f t="shared" si="12"/>
        <v>64740</v>
      </c>
      <c r="L176">
        <f t="shared" si="13"/>
        <v>37</v>
      </c>
      <c r="N176" s="19">
        <f t="shared" si="14"/>
        <v>2.5009648068589946E-3</v>
      </c>
    </row>
    <row r="177" spans="1:14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>
        <f>VLOOKUP(A177,Лист2!$A$1:$E$505, 3, 0)</f>
        <v>36</v>
      </c>
      <c r="F177" s="7">
        <f>VLOOKUP(A177,Лист2!$A$1:$E$505, 4, 0)</f>
        <v>4923</v>
      </c>
      <c r="G177" s="7">
        <f>VLOOKUP(A177,Лист2!$A$1:$E$505, 5, 0)</f>
        <v>4560</v>
      </c>
      <c r="H177" s="14">
        <f t="shared" si="10"/>
        <v>2031.875</v>
      </c>
      <c r="I177">
        <f t="shared" si="11"/>
        <v>18</v>
      </c>
      <c r="K177" s="18">
        <f t="shared" si="12"/>
        <v>64740</v>
      </c>
      <c r="L177">
        <f t="shared" si="13"/>
        <v>37</v>
      </c>
      <c r="N177" s="19">
        <f t="shared" si="14"/>
        <v>2.507235314142178E-3</v>
      </c>
    </row>
    <row r="178" spans="1:14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>
        <f>VLOOKUP(A178,Лист2!$A$1:$E$505, 3, 0)</f>
        <v>36</v>
      </c>
      <c r="F178" s="7">
        <f>VLOOKUP(A178,Лист2!$A$1:$E$505, 4, 0)</f>
        <v>4967</v>
      </c>
      <c r="G178" s="7">
        <f>VLOOKUP(A178,Лист2!$A$1:$E$505, 5, 0)</f>
        <v>4583</v>
      </c>
      <c r="H178" s="14">
        <f t="shared" si="10"/>
        <v>2029.5</v>
      </c>
      <c r="I178">
        <f t="shared" si="11"/>
        <v>20</v>
      </c>
      <c r="K178" s="18">
        <f t="shared" si="12"/>
        <v>64740</v>
      </c>
      <c r="L178">
        <f t="shared" si="13"/>
        <v>37</v>
      </c>
      <c r="N178" s="19">
        <f t="shared" si="14"/>
        <v>2.5135373437338029E-3</v>
      </c>
    </row>
    <row r="179" spans="1:14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>
        <f>VLOOKUP(A179,Лист2!$A$1:$E$505, 3, 0)</f>
        <v>37</v>
      </c>
      <c r="F179" s="7">
        <f>VLOOKUP(A179,Лист2!$A$1:$E$505, 4, 0)</f>
        <v>5215</v>
      </c>
      <c r="G179" s="7">
        <f>VLOOKUP(A179,Лист2!$A$1:$E$505, 5, 0)</f>
        <v>4848</v>
      </c>
      <c r="H179" s="14">
        <f t="shared" si="10"/>
        <v>10261.175675675675</v>
      </c>
      <c r="I179">
        <f t="shared" si="11"/>
        <v>22</v>
      </c>
      <c r="K179" s="18">
        <f t="shared" si="12"/>
        <v>349699.5</v>
      </c>
      <c r="L179">
        <f t="shared" si="13"/>
        <v>37</v>
      </c>
      <c r="N179" s="19">
        <f t="shared" si="14"/>
        <v>1.3611332647511132E-2</v>
      </c>
    </row>
    <row r="180" spans="1:14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>
        <f>VLOOKUP(A180,Лист2!$A$1:$E$505, 3, 0)</f>
        <v>36</v>
      </c>
      <c r="F180" s="7">
        <f>VLOOKUP(A180,Лист2!$A$1:$E$505, 4, 0)</f>
        <v>4751</v>
      </c>
      <c r="G180" s="7">
        <f>VLOOKUP(A180,Лист2!$A$1:$E$505, 5, 0)</f>
        <v>4370</v>
      </c>
      <c r="H180" s="14">
        <f t="shared" si="10"/>
        <v>1960.5833333333333</v>
      </c>
      <c r="I180">
        <f t="shared" si="11"/>
        <v>18</v>
      </c>
      <c r="K180" s="18">
        <f t="shared" si="12"/>
        <v>64740</v>
      </c>
      <c r="L180">
        <f t="shared" si="13"/>
        <v>37</v>
      </c>
      <c r="N180" s="19">
        <f t="shared" si="14"/>
        <v>2.5546432327672414E-3</v>
      </c>
    </row>
    <row r="181" spans="1:14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>
        <f>VLOOKUP(A181,Лист2!$A$1:$E$505, 3, 0)</f>
        <v>37</v>
      </c>
      <c r="F181" s="7">
        <f>VLOOKUP(A181,Лист2!$A$1:$E$505, 4, 0)</f>
        <v>6645</v>
      </c>
      <c r="G181" s="7">
        <f>VLOOKUP(A181,Лист2!$A$1:$E$505, 5, 0)</f>
        <v>6122</v>
      </c>
      <c r="H181" s="14">
        <f t="shared" si="10"/>
        <v>12246.567567567568</v>
      </c>
      <c r="I181">
        <f t="shared" si="11"/>
        <v>22</v>
      </c>
      <c r="K181" s="18">
        <f t="shared" si="12"/>
        <v>349699.5</v>
      </c>
      <c r="L181">
        <f t="shared" si="13"/>
        <v>37</v>
      </c>
      <c r="N181" s="19">
        <f t="shared" si="14"/>
        <v>1.3834499782720503E-2</v>
      </c>
    </row>
    <row r="182" spans="1:14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>
        <f>VLOOKUP(A182,Лист2!$A$1:$E$505, 3, 0)</f>
        <v>36</v>
      </c>
      <c r="F182" s="7">
        <f>VLOOKUP(A182,Лист2!$A$1:$E$505, 4, 0)</f>
        <v>4384</v>
      </c>
      <c r="G182" s="7">
        <f>VLOOKUP(A182,Лист2!$A$1:$E$505, 5, 0)</f>
        <v>4025</v>
      </c>
      <c r="H182" s="14">
        <f t="shared" si="10"/>
        <v>1750.3333333333333</v>
      </c>
      <c r="I182">
        <f t="shared" si="11"/>
        <v>19</v>
      </c>
      <c r="K182" s="18">
        <f t="shared" si="12"/>
        <v>64740</v>
      </c>
      <c r="L182">
        <f t="shared" si="13"/>
        <v>37</v>
      </c>
      <c r="N182" s="19">
        <f t="shared" si="14"/>
        <v>2.5971159496737178E-3</v>
      </c>
    </row>
    <row r="183" spans="1:14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>
        <f>VLOOKUP(A183,Лист2!$A$1:$E$505, 3, 0)</f>
        <v>36</v>
      </c>
      <c r="F183" s="7">
        <f>VLOOKUP(A183,Лист2!$A$1:$E$505, 4, 0)</f>
        <v>5651</v>
      </c>
      <c r="G183" s="7">
        <f>VLOOKUP(A183,Лист2!$A$1:$E$505, 5, 0)</f>
        <v>5212</v>
      </c>
      <c r="H183" s="14">
        <f t="shared" si="10"/>
        <v>2487.6666666666665</v>
      </c>
      <c r="I183">
        <f t="shared" si="11"/>
        <v>21</v>
      </c>
      <c r="K183" s="18">
        <f t="shared" si="12"/>
        <v>64740</v>
      </c>
      <c r="L183">
        <f t="shared" si="13"/>
        <v>37</v>
      </c>
      <c r="N183" s="19">
        <f t="shared" si="14"/>
        <v>2.603878524119722E-3</v>
      </c>
    </row>
    <row r="184" spans="1:14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>
        <f>VLOOKUP(A184,Лист2!$A$1:$E$505, 3, 0)</f>
        <v>37</v>
      </c>
      <c r="F184" s="7">
        <f>VLOOKUP(A184,Лист2!$A$1:$E$505, 4, 0)</f>
        <v>4840</v>
      </c>
      <c r="G184" s="7">
        <f>VLOOKUP(A184,Лист2!$A$1:$E$505, 5, 0)</f>
        <v>4475</v>
      </c>
      <c r="H184" s="14">
        <f t="shared" si="10"/>
        <v>9855.0810810810817</v>
      </c>
      <c r="I184">
        <f t="shared" si="11"/>
        <v>22</v>
      </c>
      <c r="K184" s="18">
        <f t="shared" si="12"/>
        <v>349699.5</v>
      </c>
      <c r="L184">
        <f t="shared" si="13"/>
        <v>37</v>
      </c>
      <c r="N184" s="19">
        <f t="shared" si="14"/>
        <v>1.4101826300012207E-2</v>
      </c>
    </row>
    <row r="185" spans="1:14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>
        <f>VLOOKUP(A185,Лист2!$A$1:$E$505, 3, 0)</f>
        <v>36</v>
      </c>
      <c r="F185" s="7">
        <f>VLOOKUP(A185,Лист2!$A$1:$E$505, 4, 0)</f>
        <v>4641</v>
      </c>
      <c r="G185" s="7">
        <f>VLOOKUP(A185,Лист2!$A$1:$E$505, 5, 0)</f>
        <v>4274</v>
      </c>
      <c r="H185" s="14">
        <f t="shared" si="10"/>
        <v>1842.125</v>
      </c>
      <c r="I185">
        <f t="shared" si="11"/>
        <v>22</v>
      </c>
      <c r="K185" s="18">
        <f t="shared" si="12"/>
        <v>64740</v>
      </c>
      <c r="L185">
        <f t="shared" si="13"/>
        <v>37</v>
      </c>
      <c r="N185" s="19">
        <f t="shared" si="14"/>
        <v>2.64801830249388E-3</v>
      </c>
    </row>
    <row r="186" spans="1:14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>
        <f>VLOOKUP(A186,Лист2!$A$1:$E$505, 3, 0)</f>
        <v>36</v>
      </c>
      <c r="F186" s="7">
        <f>VLOOKUP(A186,Лист2!$A$1:$E$505, 4, 0)</f>
        <v>5143</v>
      </c>
      <c r="G186" s="7">
        <f>VLOOKUP(A186,Лист2!$A$1:$E$505, 5, 0)</f>
        <v>4715</v>
      </c>
      <c r="H186" s="14">
        <f t="shared" si="10"/>
        <v>2173.2083333333335</v>
      </c>
      <c r="I186">
        <f t="shared" si="11"/>
        <v>18</v>
      </c>
      <c r="K186" s="18">
        <f t="shared" si="12"/>
        <v>64740</v>
      </c>
      <c r="L186">
        <f t="shared" si="13"/>
        <v>37</v>
      </c>
      <c r="N186" s="19">
        <f t="shared" si="14"/>
        <v>2.6550489206297241E-3</v>
      </c>
    </row>
    <row r="187" spans="1:14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>
        <f>VLOOKUP(A187,Лист2!$A$1:$E$505, 3, 0)</f>
        <v>36</v>
      </c>
      <c r="F187" s="7">
        <f>VLOOKUP(A187,Лист2!$A$1:$E$505, 4, 0)</f>
        <v>5746</v>
      </c>
      <c r="G187" s="7">
        <f>VLOOKUP(A187,Лист2!$A$1:$E$505, 5, 0)</f>
        <v>5277</v>
      </c>
      <c r="H187" s="14">
        <f t="shared" si="10"/>
        <v>2453.0833333333335</v>
      </c>
      <c r="I187">
        <f t="shared" si="11"/>
        <v>19</v>
      </c>
      <c r="K187" s="18">
        <f t="shared" si="12"/>
        <v>64740</v>
      </c>
      <c r="L187">
        <f t="shared" si="13"/>
        <v>37</v>
      </c>
      <c r="N187" s="19">
        <f t="shared" si="14"/>
        <v>2.6621169714212863E-3</v>
      </c>
    </row>
    <row r="188" spans="1:14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>
        <f>VLOOKUP(A188,Лист2!$A$1:$E$505, 3, 0)</f>
        <v>36</v>
      </c>
      <c r="F188" s="7">
        <f>VLOOKUP(A188,Лист2!$A$1:$E$505, 4, 0)</f>
        <v>4199</v>
      </c>
      <c r="G188" s="7">
        <f>VLOOKUP(A188,Лист2!$A$1:$E$505, 5, 0)</f>
        <v>3867</v>
      </c>
      <c r="H188" s="14">
        <f t="shared" si="10"/>
        <v>1716.7916666666667</v>
      </c>
      <c r="I188">
        <f t="shared" si="11"/>
        <v>19</v>
      </c>
      <c r="K188" s="18">
        <f t="shared" si="12"/>
        <v>64740</v>
      </c>
      <c r="L188">
        <f t="shared" si="13"/>
        <v>37</v>
      </c>
      <c r="N188" s="19">
        <f t="shared" si="14"/>
        <v>2.6692227546168557E-3</v>
      </c>
    </row>
    <row r="189" spans="1:14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>
        <f>VLOOKUP(A189,Лист2!$A$1:$E$505, 3, 0)</f>
        <v>36</v>
      </c>
      <c r="F189" s="7">
        <f>VLOOKUP(A189,Лист2!$A$1:$E$505, 4, 0)</f>
        <v>4826</v>
      </c>
      <c r="G189" s="7">
        <f>VLOOKUP(A189,Лист2!$A$1:$E$505, 5, 0)</f>
        <v>4426</v>
      </c>
      <c r="H189" s="14">
        <f t="shared" si="10"/>
        <v>1974.0833333333333</v>
      </c>
      <c r="I189">
        <f t="shared" si="11"/>
        <v>19</v>
      </c>
      <c r="K189" s="18">
        <f t="shared" si="12"/>
        <v>64740</v>
      </c>
      <c r="L189">
        <f t="shared" si="13"/>
        <v>37</v>
      </c>
      <c r="N189" s="19">
        <f t="shared" si="14"/>
        <v>2.6763665731736664E-3</v>
      </c>
    </row>
    <row r="190" spans="1:14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>
        <f>VLOOKUP(A190,Лист2!$A$1:$E$505, 3, 0)</f>
        <v>36</v>
      </c>
      <c r="F190" s="7">
        <f>VLOOKUP(A190,Лист2!$A$1:$E$505, 4, 0)</f>
        <v>4915</v>
      </c>
      <c r="G190" s="7">
        <f>VLOOKUP(A190,Лист2!$A$1:$E$505, 5, 0)</f>
        <v>4562</v>
      </c>
      <c r="H190" s="14">
        <f t="shared" si="10"/>
        <v>2073.5833333333335</v>
      </c>
      <c r="I190">
        <f t="shared" si="11"/>
        <v>21</v>
      </c>
      <c r="K190" s="18">
        <f t="shared" si="12"/>
        <v>64740</v>
      </c>
      <c r="L190">
        <f t="shared" si="13"/>
        <v>37</v>
      </c>
      <c r="N190" s="19">
        <f t="shared" si="14"/>
        <v>2.683548733300956E-3</v>
      </c>
    </row>
    <row r="191" spans="1:14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>
        <f>VLOOKUP(A191,Лист2!$A$1:$E$505, 3, 0)</f>
        <v>36</v>
      </c>
      <c r="F191" s="7">
        <f>VLOOKUP(A191,Лист2!$A$1:$E$505, 4, 0)</f>
        <v>5286</v>
      </c>
      <c r="G191" s="7">
        <f>VLOOKUP(A191,Лист2!$A$1:$E$505, 5, 0)</f>
        <v>4867</v>
      </c>
      <c r="H191" s="14">
        <f t="shared" si="10"/>
        <v>1237.7916666666667</v>
      </c>
      <c r="I191">
        <f t="shared" si="11"/>
        <v>20</v>
      </c>
      <c r="K191" s="18">
        <f t="shared" si="12"/>
        <v>40528.5</v>
      </c>
      <c r="L191">
        <f t="shared" si="13"/>
        <v>37</v>
      </c>
      <c r="N191" s="19">
        <f t="shared" si="14"/>
        <v>1.6844741038680685E-3</v>
      </c>
    </row>
    <row r="192" spans="1:14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>
        <f>VLOOKUP(A192,Лист2!$A$1:$E$505, 3, 0)</f>
        <v>36</v>
      </c>
      <c r="F192" s="7">
        <f>VLOOKUP(A192,Лист2!$A$1:$E$505, 4, 0)</f>
        <v>5094</v>
      </c>
      <c r="G192" s="7">
        <f>VLOOKUP(A192,Лист2!$A$1:$E$505, 5, 0)</f>
        <v>4716</v>
      </c>
      <c r="H192" s="14">
        <f t="shared" si="10"/>
        <v>1062.5</v>
      </c>
      <c r="I192">
        <f t="shared" si="11"/>
        <v>21</v>
      </c>
      <c r="K192" s="18">
        <f t="shared" si="12"/>
        <v>40528.5</v>
      </c>
      <c r="L192">
        <f t="shared" si="13"/>
        <v>37</v>
      </c>
      <c r="N192" s="19">
        <f t="shared" si="14"/>
        <v>1.6873163445555056E-3</v>
      </c>
    </row>
    <row r="193" spans="1:14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>
        <f>VLOOKUP(A193,Лист2!$A$1:$E$505, 3, 0)</f>
        <v>36</v>
      </c>
      <c r="F193" s="7">
        <f>VLOOKUP(A193,Лист2!$A$1:$E$505, 4, 0)</f>
        <v>4918</v>
      </c>
      <c r="G193" s="7">
        <f>VLOOKUP(A193,Лист2!$A$1:$E$505, 5, 0)</f>
        <v>4554</v>
      </c>
      <c r="H193" s="14">
        <f t="shared" si="10"/>
        <v>967.5</v>
      </c>
      <c r="I193">
        <f t="shared" si="11"/>
        <v>20</v>
      </c>
      <c r="K193" s="18">
        <f t="shared" si="12"/>
        <v>40528.5</v>
      </c>
      <c r="L193">
        <f t="shared" si="13"/>
        <v>37</v>
      </c>
      <c r="N193" s="19">
        <f t="shared" si="14"/>
        <v>1.690168192972556E-3</v>
      </c>
    </row>
    <row r="194" spans="1:14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>
        <f>VLOOKUP(A194,Лист2!$A$1:$E$505, 3, 0)</f>
        <v>36</v>
      </c>
      <c r="F194" s="7">
        <f>VLOOKUP(A194,Лист2!$A$1:$E$505, 4, 0)</f>
        <v>5413</v>
      </c>
      <c r="G194" s="7">
        <f>VLOOKUP(A194,Лист2!$A$1:$E$505, 5, 0)</f>
        <v>4959</v>
      </c>
      <c r="H194" s="14">
        <f t="shared" si="10"/>
        <v>895.54166666666663</v>
      </c>
      <c r="I194">
        <f t="shared" si="11"/>
        <v>19</v>
      </c>
      <c r="K194" s="18">
        <f t="shared" si="12"/>
        <v>40528.5</v>
      </c>
      <c r="L194">
        <f t="shared" si="13"/>
        <v>37</v>
      </c>
      <c r="N194" s="19">
        <f t="shared" si="14"/>
        <v>1.6930296979177344E-3</v>
      </c>
    </row>
    <row r="195" spans="1:14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>
        <f>VLOOKUP(A195,Лист2!$A$1:$E$505, 3, 0)</f>
        <v>36</v>
      </c>
      <c r="F195" s="7">
        <f>VLOOKUP(A195,Лист2!$A$1:$E$505, 4, 0)</f>
        <v>4508</v>
      </c>
      <c r="G195" s="7">
        <f>VLOOKUP(A195,Лист2!$A$1:$E$505, 5, 0)</f>
        <v>4149</v>
      </c>
      <c r="H195" s="14">
        <f t="shared" ref="H195:H258" si="15">IF(E195&gt;0, C195 / E195, 0)</f>
        <v>855</v>
      </c>
      <c r="I195">
        <f t="shared" ref="I195:I258" si="16">WEEKNUM(A195,2)</f>
        <v>19</v>
      </c>
      <c r="K195" s="18">
        <f t="shared" ref="K195:K258" si="17">SUMIFS($C:$C,$B:$B,B195,$I:$I,$J$2)</f>
        <v>40528.5</v>
      </c>
      <c r="L195">
        <f t="shared" ref="L195:L258" si="18">SUMIFS($E:$E,$B:$B,B195,$I:$I,$J$2)</f>
        <v>37</v>
      </c>
      <c r="N195" s="19">
        <f t="shared" ref="N195:N258" si="19">K195/ SUM(K195:K698)</f>
        <v>1.6959009085205856E-3</v>
      </c>
    </row>
    <row r="196" spans="1:14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>
        <f>VLOOKUP(A196,Лист2!$A$1:$E$505, 3, 0)</f>
        <v>36</v>
      </c>
      <c r="F196" s="7">
        <f>VLOOKUP(A196,Лист2!$A$1:$E$505, 4, 0)</f>
        <v>4937</v>
      </c>
      <c r="G196" s="7">
        <f>VLOOKUP(A196,Лист2!$A$1:$E$505, 5, 0)</f>
        <v>4561</v>
      </c>
      <c r="H196" s="14">
        <f t="shared" si="15"/>
        <v>809.5</v>
      </c>
      <c r="I196">
        <f t="shared" si="16"/>
        <v>18</v>
      </c>
      <c r="K196" s="18">
        <f t="shared" si="17"/>
        <v>40528.5</v>
      </c>
      <c r="L196">
        <f t="shared" si="18"/>
        <v>37</v>
      </c>
      <c r="N196" s="19">
        <f t="shared" si="19"/>
        <v>1.6987818742444951E-3</v>
      </c>
    </row>
    <row r="197" spans="1:14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>
        <f>VLOOKUP(A197,Лист2!$A$1:$E$505, 3, 0)</f>
        <v>36</v>
      </c>
      <c r="F197" s="7">
        <f>VLOOKUP(A197,Лист2!$A$1:$E$505, 4, 0)</f>
        <v>3442</v>
      </c>
      <c r="G197" s="7">
        <f>VLOOKUP(A197,Лист2!$A$1:$E$505, 5, 0)</f>
        <v>3147</v>
      </c>
      <c r="H197" s="14">
        <f t="shared" si="15"/>
        <v>734.125</v>
      </c>
      <c r="I197">
        <f t="shared" si="16"/>
        <v>18</v>
      </c>
      <c r="K197" s="18">
        <f t="shared" si="17"/>
        <v>40528.5</v>
      </c>
      <c r="L197">
        <f t="shared" si="18"/>
        <v>37</v>
      </c>
      <c r="N197" s="19">
        <f t="shared" si="19"/>
        <v>1.7016726448895311E-3</v>
      </c>
    </row>
    <row r="198" spans="1:14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>
        <f>VLOOKUP(A198,Лист2!$A$1:$E$505, 3, 0)</f>
        <v>36</v>
      </c>
      <c r="F198" s="7">
        <f>VLOOKUP(A198,Лист2!$A$1:$E$505, 4, 0)</f>
        <v>4770</v>
      </c>
      <c r="G198" s="7">
        <f>VLOOKUP(A198,Лист2!$A$1:$E$505, 5, 0)</f>
        <v>4424</v>
      </c>
      <c r="H198" s="14">
        <f t="shared" si="15"/>
        <v>1131.7916666666667</v>
      </c>
      <c r="I198">
        <f t="shared" si="16"/>
        <v>22</v>
      </c>
      <c r="K198" s="18">
        <f t="shared" si="17"/>
        <v>40528.5</v>
      </c>
      <c r="L198">
        <f t="shared" si="18"/>
        <v>37</v>
      </c>
      <c r="N198" s="19">
        <f t="shared" si="19"/>
        <v>1.7045732705953131E-3</v>
      </c>
    </row>
    <row r="199" spans="1:14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>
        <f>VLOOKUP(A199,Лист2!$A$1:$E$505, 3, 0)</f>
        <v>36</v>
      </c>
      <c r="F199" s="7">
        <f>VLOOKUP(A199,Лист2!$A$1:$E$505, 4, 0)</f>
        <v>5457</v>
      </c>
      <c r="G199" s="7">
        <f>VLOOKUP(A199,Лист2!$A$1:$E$505, 5, 0)</f>
        <v>4916</v>
      </c>
      <c r="H199" s="14">
        <f t="shared" si="15"/>
        <v>1295</v>
      </c>
      <c r="I199">
        <f t="shared" si="16"/>
        <v>18</v>
      </c>
      <c r="K199" s="18">
        <f t="shared" si="17"/>
        <v>40528.5</v>
      </c>
      <c r="L199">
        <f t="shared" si="18"/>
        <v>37</v>
      </c>
      <c r="N199" s="19">
        <f t="shared" si="19"/>
        <v>1.7074838018439106E-3</v>
      </c>
    </row>
    <row r="200" spans="1:14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>
        <f>VLOOKUP(A200,Лист2!$A$1:$E$505, 3, 0)</f>
        <v>36</v>
      </c>
      <c r="F200" s="7">
        <f>VLOOKUP(A200,Лист2!$A$1:$E$505, 4, 0)</f>
        <v>4418</v>
      </c>
      <c r="G200" s="7">
        <f>VLOOKUP(A200,Лист2!$A$1:$E$505, 5, 0)</f>
        <v>4088</v>
      </c>
      <c r="H200" s="14">
        <f t="shared" si="15"/>
        <v>900.54166666666663</v>
      </c>
      <c r="I200">
        <f t="shared" si="16"/>
        <v>20</v>
      </c>
      <c r="K200" s="18">
        <f t="shared" si="17"/>
        <v>40528.5</v>
      </c>
      <c r="L200">
        <f t="shared" si="18"/>
        <v>37</v>
      </c>
      <c r="N200" s="19">
        <f t="shared" si="19"/>
        <v>1.7104042894627725E-3</v>
      </c>
    </row>
    <row r="201" spans="1:14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>
        <f>VLOOKUP(A201,Лист2!$A$1:$E$505, 3, 0)</f>
        <v>36</v>
      </c>
      <c r="F201" s="7">
        <f>VLOOKUP(A201,Лист2!$A$1:$E$505, 4, 0)</f>
        <v>4816</v>
      </c>
      <c r="G201" s="7">
        <f>VLOOKUP(A201,Лист2!$A$1:$E$505, 5, 0)</f>
        <v>4452</v>
      </c>
      <c r="H201" s="14">
        <f t="shared" si="15"/>
        <v>1133.875</v>
      </c>
      <c r="I201">
        <f t="shared" si="16"/>
        <v>21</v>
      </c>
      <c r="K201" s="18">
        <f t="shared" si="17"/>
        <v>40528.5</v>
      </c>
      <c r="L201">
        <f t="shared" si="18"/>
        <v>37</v>
      </c>
      <c r="N201" s="19">
        <f t="shared" si="19"/>
        <v>1.7133347846276857E-3</v>
      </c>
    </row>
    <row r="202" spans="1:14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>
        <f>VLOOKUP(A202,Лист2!$A$1:$E$505, 3, 0)</f>
        <v>36</v>
      </c>
      <c r="F202" s="7">
        <f>VLOOKUP(A202,Лист2!$A$1:$E$505, 4, 0)</f>
        <v>5914</v>
      </c>
      <c r="G202" s="7">
        <f>VLOOKUP(A202,Лист2!$A$1:$E$505, 5, 0)</f>
        <v>5384</v>
      </c>
      <c r="H202" s="14">
        <f t="shared" si="15"/>
        <v>1149.75</v>
      </c>
      <c r="I202">
        <f t="shared" si="16"/>
        <v>21</v>
      </c>
      <c r="K202" s="18">
        <f t="shared" si="17"/>
        <v>40528.5</v>
      </c>
      <c r="L202">
        <f t="shared" si="18"/>
        <v>37</v>
      </c>
      <c r="N202" s="19">
        <f t="shared" si="19"/>
        <v>1.7162753388657629E-3</v>
      </c>
    </row>
    <row r="203" spans="1:14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>
        <f>VLOOKUP(A203,Лист2!$A$1:$E$505, 3, 0)</f>
        <v>36</v>
      </c>
      <c r="F203" s="7">
        <f>VLOOKUP(A203,Лист2!$A$1:$E$505, 4, 0)</f>
        <v>4575</v>
      </c>
      <c r="G203" s="7">
        <f>VLOOKUP(A203,Лист2!$A$1:$E$505, 5, 0)</f>
        <v>4206</v>
      </c>
      <c r="H203" s="14">
        <f t="shared" si="15"/>
        <v>818.95833333333337</v>
      </c>
      <c r="I203">
        <f t="shared" si="16"/>
        <v>19</v>
      </c>
      <c r="K203" s="18">
        <f t="shared" si="17"/>
        <v>40528.5</v>
      </c>
      <c r="L203">
        <f t="shared" si="18"/>
        <v>37</v>
      </c>
      <c r="N203" s="19">
        <f t="shared" si="19"/>
        <v>1.7192260040584653E-3</v>
      </c>
    </row>
    <row r="204" spans="1:14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>
        <f>VLOOKUP(A204,Лист2!$A$1:$E$505, 3, 0)</f>
        <v>36</v>
      </c>
      <c r="F204" s="7">
        <f>VLOOKUP(A204,Лист2!$A$1:$E$505, 4, 0)</f>
        <v>4923</v>
      </c>
      <c r="G204" s="7">
        <f>VLOOKUP(A204,Лист2!$A$1:$E$505, 5, 0)</f>
        <v>4560</v>
      </c>
      <c r="H204" s="14">
        <f t="shared" si="15"/>
        <v>893.91666666666663</v>
      </c>
      <c r="I204">
        <f t="shared" si="16"/>
        <v>18</v>
      </c>
      <c r="K204" s="18">
        <f t="shared" si="17"/>
        <v>40528.5</v>
      </c>
      <c r="L204">
        <f t="shared" si="18"/>
        <v>37</v>
      </c>
      <c r="N204" s="19">
        <f t="shared" si="19"/>
        <v>1.7221868324446511E-3</v>
      </c>
    </row>
    <row r="205" spans="1:14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>
        <f>VLOOKUP(A205,Лист2!$A$1:$E$505, 3, 0)</f>
        <v>36</v>
      </c>
      <c r="F205" s="7">
        <f>VLOOKUP(A205,Лист2!$A$1:$E$505, 4, 0)</f>
        <v>4967</v>
      </c>
      <c r="G205" s="7">
        <f>VLOOKUP(A205,Лист2!$A$1:$E$505, 5, 0)</f>
        <v>4583</v>
      </c>
      <c r="H205" s="14">
        <f t="shared" si="15"/>
        <v>987.08333333333337</v>
      </c>
      <c r="I205">
        <f t="shared" si="16"/>
        <v>20</v>
      </c>
      <c r="K205" s="18">
        <f t="shared" si="17"/>
        <v>40528.5</v>
      </c>
      <c r="L205">
        <f t="shared" si="18"/>
        <v>37</v>
      </c>
      <c r="N205" s="19">
        <f t="shared" si="19"/>
        <v>1.7251578766236605E-3</v>
      </c>
    </row>
    <row r="206" spans="1:14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>
        <f>VLOOKUP(A206,Лист2!$A$1:$E$505, 3, 0)</f>
        <v>37</v>
      </c>
      <c r="F206" s="7">
        <f>VLOOKUP(A206,Лист2!$A$1:$E$505, 4, 0)</f>
        <v>5215</v>
      </c>
      <c r="G206" s="7">
        <f>VLOOKUP(A206,Лист2!$A$1:$E$505, 5, 0)</f>
        <v>4848</v>
      </c>
      <c r="H206" s="14">
        <f t="shared" si="15"/>
        <v>2060.3918918918921</v>
      </c>
      <c r="I206">
        <f t="shared" si="16"/>
        <v>22</v>
      </c>
      <c r="K206" s="18">
        <f t="shared" si="17"/>
        <v>64740</v>
      </c>
      <c r="L206">
        <f t="shared" si="18"/>
        <v>37</v>
      </c>
      <c r="N206" s="19">
        <f t="shared" si="19"/>
        <v>2.7605199090026209E-3</v>
      </c>
    </row>
    <row r="207" spans="1:14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>
        <f>VLOOKUP(A207,Лист2!$A$1:$E$505, 3, 0)</f>
        <v>36</v>
      </c>
      <c r="F207" s="7">
        <f>VLOOKUP(A207,Лист2!$A$1:$E$505, 4, 0)</f>
        <v>4751</v>
      </c>
      <c r="G207" s="7">
        <f>VLOOKUP(A207,Лист2!$A$1:$E$505, 5, 0)</f>
        <v>4370</v>
      </c>
      <c r="H207" s="14">
        <f t="shared" si="15"/>
        <v>831.54166666666663</v>
      </c>
      <c r="I207">
        <f t="shared" si="16"/>
        <v>18</v>
      </c>
      <c r="K207" s="18">
        <f t="shared" si="17"/>
        <v>40528.5</v>
      </c>
      <c r="L207">
        <f t="shared" si="18"/>
        <v>37</v>
      </c>
      <c r="N207" s="19">
        <f t="shared" si="19"/>
        <v>1.7329229578844372E-3</v>
      </c>
    </row>
    <row r="208" spans="1:14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>
        <f>VLOOKUP(A208,Лист2!$A$1:$E$505, 3, 0)</f>
        <v>37</v>
      </c>
      <c r="F208" s="7">
        <f>VLOOKUP(A208,Лист2!$A$1:$E$505, 4, 0)</f>
        <v>6645</v>
      </c>
      <c r="G208" s="7">
        <f>VLOOKUP(A208,Лист2!$A$1:$E$505, 5, 0)</f>
        <v>6122</v>
      </c>
      <c r="H208" s="14">
        <f t="shared" si="15"/>
        <v>2889.8918918918921</v>
      </c>
      <c r="I208">
        <f t="shared" si="16"/>
        <v>22</v>
      </c>
      <c r="K208" s="18">
        <f t="shared" si="17"/>
        <v>64740</v>
      </c>
      <c r="L208">
        <f t="shared" si="18"/>
        <v>37</v>
      </c>
      <c r="N208" s="19">
        <f t="shared" si="19"/>
        <v>2.7729668117120196E-3</v>
      </c>
    </row>
    <row r="209" spans="1:14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>
        <f>VLOOKUP(A209,Лист2!$A$1:$E$505, 3, 0)</f>
        <v>36</v>
      </c>
      <c r="F209" s="7">
        <f>VLOOKUP(A209,Лист2!$A$1:$E$505, 4, 0)</f>
        <v>4384</v>
      </c>
      <c r="G209" s="7">
        <f>VLOOKUP(A209,Лист2!$A$1:$E$505, 5, 0)</f>
        <v>4025</v>
      </c>
      <c r="H209" s="14">
        <f t="shared" si="15"/>
        <v>842.83333333333337</v>
      </c>
      <c r="I209">
        <f t="shared" si="16"/>
        <v>19</v>
      </c>
      <c r="K209" s="18">
        <f t="shared" si="17"/>
        <v>40528.5</v>
      </c>
      <c r="L209">
        <f t="shared" si="18"/>
        <v>37</v>
      </c>
      <c r="N209" s="19">
        <f t="shared" si="19"/>
        <v>1.7407582577779566E-3</v>
      </c>
    </row>
    <row r="210" spans="1:14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>
        <f>VLOOKUP(A210,Лист2!$A$1:$E$505, 3, 0)</f>
        <v>36</v>
      </c>
      <c r="F210" s="7">
        <f>VLOOKUP(A210,Лист2!$A$1:$E$505, 4, 0)</f>
        <v>5651</v>
      </c>
      <c r="G210" s="7">
        <f>VLOOKUP(A210,Лист2!$A$1:$E$505, 5, 0)</f>
        <v>5212</v>
      </c>
      <c r="H210" s="14">
        <f t="shared" si="15"/>
        <v>1194.4166666666667</v>
      </c>
      <c r="I210">
        <f t="shared" si="16"/>
        <v>21</v>
      </c>
      <c r="K210" s="18">
        <f t="shared" si="17"/>
        <v>40528.5</v>
      </c>
      <c r="L210">
        <f t="shared" si="18"/>
        <v>37</v>
      </c>
      <c r="N210" s="19">
        <f t="shared" si="19"/>
        <v>1.7437937812024465E-3</v>
      </c>
    </row>
    <row r="211" spans="1:14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>
        <f>VLOOKUP(A211,Лист2!$A$1:$E$505, 3, 0)</f>
        <v>37</v>
      </c>
      <c r="F211" s="7">
        <f>VLOOKUP(A211,Лист2!$A$1:$E$505, 4, 0)</f>
        <v>4840</v>
      </c>
      <c r="G211" s="7">
        <f>VLOOKUP(A211,Лист2!$A$1:$E$505, 5, 0)</f>
        <v>4475</v>
      </c>
      <c r="H211" s="14">
        <f t="shared" si="15"/>
        <v>1890.4054054054054</v>
      </c>
      <c r="I211">
        <f t="shared" si="16"/>
        <v>22</v>
      </c>
      <c r="K211" s="18">
        <f t="shared" si="17"/>
        <v>64740</v>
      </c>
      <c r="L211">
        <f t="shared" si="18"/>
        <v>37</v>
      </c>
      <c r="N211" s="19">
        <f t="shared" si="19"/>
        <v>2.790392335239649E-3</v>
      </c>
    </row>
    <row r="212" spans="1:14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>
        <f>VLOOKUP(A212,Лист2!$A$1:$E$505, 3, 0)</f>
        <v>36</v>
      </c>
      <c r="F212" s="7">
        <f>VLOOKUP(A212,Лист2!$A$1:$E$505, 4, 0)</f>
        <v>4641</v>
      </c>
      <c r="G212" s="7">
        <f>VLOOKUP(A212,Лист2!$A$1:$E$505, 5, 0)</f>
        <v>4274</v>
      </c>
      <c r="H212" s="14">
        <f t="shared" si="15"/>
        <v>1076.125</v>
      </c>
      <c r="I212">
        <f t="shared" si="16"/>
        <v>22</v>
      </c>
      <c r="K212" s="18">
        <f t="shared" si="17"/>
        <v>40528.5</v>
      </c>
      <c r="L212">
        <f t="shared" si="18"/>
        <v>37</v>
      </c>
      <c r="N212" s="19">
        <f t="shared" si="19"/>
        <v>1.751727917929482E-3</v>
      </c>
    </row>
    <row r="213" spans="1:14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>
        <f>VLOOKUP(A213,Лист2!$A$1:$E$505, 3, 0)</f>
        <v>36</v>
      </c>
      <c r="F213" s="7">
        <f>VLOOKUP(A213,Лист2!$A$1:$E$505, 4, 0)</f>
        <v>5143</v>
      </c>
      <c r="G213" s="7">
        <f>VLOOKUP(A213,Лист2!$A$1:$E$505, 5, 0)</f>
        <v>4715</v>
      </c>
      <c r="H213" s="14">
        <f t="shared" si="15"/>
        <v>867.54166666666663</v>
      </c>
      <c r="I213">
        <f t="shared" si="16"/>
        <v>18</v>
      </c>
      <c r="K213" s="18">
        <f t="shared" si="17"/>
        <v>40528.5</v>
      </c>
      <c r="L213">
        <f t="shared" si="18"/>
        <v>37</v>
      </c>
      <c r="N213" s="19">
        <f t="shared" si="19"/>
        <v>1.7548018533263883E-3</v>
      </c>
    </row>
    <row r="214" spans="1:14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>
        <f>VLOOKUP(A214,Лист2!$A$1:$E$505, 3, 0)</f>
        <v>36</v>
      </c>
      <c r="F214" s="7">
        <f>VLOOKUP(A214,Лист2!$A$1:$E$505, 4, 0)</f>
        <v>5746</v>
      </c>
      <c r="G214" s="7">
        <f>VLOOKUP(A214,Лист2!$A$1:$E$505, 5, 0)</f>
        <v>5277</v>
      </c>
      <c r="H214" s="14">
        <f t="shared" si="15"/>
        <v>1041.375</v>
      </c>
      <c r="I214">
        <f t="shared" si="16"/>
        <v>19</v>
      </c>
      <c r="K214" s="18">
        <f t="shared" si="17"/>
        <v>40528.5</v>
      </c>
      <c r="L214">
        <f t="shared" si="18"/>
        <v>37</v>
      </c>
      <c r="N214" s="19">
        <f t="shared" si="19"/>
        <v>1.7578865959829569E-3</v>
      </c>
    </row>
    <row r="215" spans="1:14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>
        <f>VLOOKUP(A215,Лист2!$A$1:$E$505, 3, 0)</f>
        <v>36</v>
      </c>
      <c r="F215" s="7">
        <f>VLOOKUP(A215,Лист2!$A$1:$E$505, 4, 0)</f>
        <v>4199</v>
      </c>
      <c r="G215" s="7">
        <f>VLOOKUP(A215,Лист2!$A$1:$E$505, 5, 0)</f>
        <v>3867</v>
      </c>
      <c r="H215" s="14">
        <f t="shared" si="15"/>
        <v>955.54166666666663</v>
      </c>
      <c r="I215">
        <f t="shared" si="16"/>
        <v>19</v>
      </c>
      <c r="K215" s="18">
        <f t="shared" si="17"/>
        <v>40528.5</v>
      </c>
      <c r="L215">
        <f t="shared" si="18"/>
        <v>37</v>
      </c>
      <c r="N215" s="19">
        <f t="shared" si="19"/>
        <v>1.7609822029933633E-3</v>
      </c>
    </row>
    <row r="216" spans="1:14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>
        <f>VLOOKUP(A216,Лист2!$A$1:$E$505, 3, 0)</f>
        <v>36</v>
      </c>
      <c r="F216" s="7">
        <f>VLOOKUP(A216,Лист2!$A$1:$E$505, 4, 0)</f>
        <v>4826</v>
      </c>
      <c r="G216" s="7">
        <f>VLOOKUP(A216,Лист2!$A$1:$E$505, 5, 0)</f>
        <v>4426</v>
      </c>
      <c r="H216" s="14">
        <f t="shared" si="15"/>
        <v>912.54166666666663</v>
      </c>
      <c r="I216">
        <f t="shared" si="16"/>
        <v>19</v>
      </c>
      <c r="K216" s="18">
        <f t="shared" si="17"/>
        <v>40528.5</v>
      </c>
      <c r="L216">
        <f t="shared" si="18"/>
        <v>37</v>
      </c>
      <c r="N216" s="19">
        <f t="shared" si="19"/>
        <v>1.7640887318546607E-3</v>
      </c>
    </row>
    <row r="217" spans="1:14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>
        <f>VLOOKUP(A217,Лист2!$A$1:$E$505, 3, 0)</f>
        <v>36</v>
      </c>
      <c r="F217" s="7">
        <f>VLOOKUP(A217,Лист2!$A$1:$E$505, 4, 0)</f>
        <v>4915</v>
      </c>
      <c r="G217" s="7">
        <f>VLOOKUP(A217,Лист2!$A$1:$E$505, 5, 0)</f>
        <v>4562</v>
      </c>
      <c r="H217" s="14">
        <f t="shared" si="15"/>
        <v>1060.9583333333333</v>
      </c>
      <c r="I217">
        <f t="shared" si="16"/>
        <v>21</v>
      </c>
      <c r="K217" s="18">
        <f t="shared" si="17"/>
        <v>40528.5</v>
      </c>
      <c r="L217">
        <f t="shared" si="18"/>
        <v>37</v>
      </c>
      <c r="N217" s="19">
        <f t="shared" si="19"/>
        <v>1.7672062404703376E-3</v>
      </c>
    </row>
    <row r="218" spans="1:14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>
        <f>VLOOKUP(A218,Лист2!$A$1:$E$505, 3, 0)</f>
        <v>37</v>
      </c>
      <c r="F218" s="7">
        <f>VLOOKUP(A218,Лист2!$A$1:$E$505, 4, 0)</f>
        <v>5215</v>
      </c>
      <c r="G218" s="7">
        <f>VLOOKUP(A218,Лист2!$A$1:$E$505, 5, 0)</f>
        <v>4848</v>
      </c>
      <c r="H218" s="14">
        <f t="shared" si="15"/>
        <v>1146.5675675675675</v>
      </c>
      <c r="I218">
        <f t="shared" si="16"/>
        <v>22</v>
      </c>
      <c r="K218" s="18">
        <f t="shared" si="17"/>
        <v>40528.5</v>
      </c>
      <c r="L218">
        <f t="shared" si="18"/>
        <v>37</v>
      </c>
      <c r="N218" s="19">
        <f t="shared" si="19"/>
        <v>1.7703347871539177E-3</v>
      </c>
    </row>
    <row r="219" spans="1:14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>
        <f>VLOOKUP(A219,Лист2!$A$1:$E$505, 3, 0)</f>
        <v>37</v>
      </c>
      <c r="F219" s="7">
        <f>VLOOKUP(A219,Лист2!$A$1:$E$505, 4, 0)</f>
        <v>6645</v>
      </c>
      <c r="G219" s="7">
        <f>VLOOKUP(A219,Лист2!$A$1:$E$505, 5, 0)</f>
        <v>6122</v>
      </c>
      <c r="H219" s="14">
        <f t="shared" si="15"/>
        <v>1305.0405405405406</v>
      </c>
      <c r="I219">
        <f t="shared" si="16"/>
        <v>22</v>
      </c>
      <c r="K219" s="18">
        <f t="shared" si="17"/>
        <v>40528.5</v>
      </c>
      <c r="L219">
        <f t="shared" si="18"/>
        <v>37</v>
      </c>
      <c r="N219" s="19">
        <f t="shared" si="19"/>
        <v>1.7734744306325946E-3</v>
      </c>
    </row>
    <row r="220" spans="1:14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>
        <f>VLOOKUP(A220,Лист2!$A$1:$E$505, 3, 0)</f>
        <v>37</v>
      </c>
      <c r="F220" s="7">
        <f>VLOOKUP(A220,Лист2!$A$1:$E$505, 4, 0)</f>
        <v>4840</v>
      </c>
      <c r="G220" s="7">
        <f>VLOOKUP(A220,Лист2!$A$1:$E$505, 5, 0)</f>
        <v>4475</v>
      </c>
      <c r="H220" s="14">
        <f t="shared" si="15"/>
        <v>1120.0540540540539</v>
      </c>
      <c r="I220">
        <f t="shared" si="16"/>
        <v>22</v>
      </c>
      <c r="K220" s="18">
        <f t="shared" si="17"/>
        <v>40528.5</v>
      </c>
      <c r="L220">
        <f t="shared" si="18"/>
        <v>37</v>
      </c>
      <c r="N220" s="19">
        <f t="shared" si="19"/>
        <v>1.7766252300509067E-3</v>
      </c>
    </row>
    <row r="221" spans="1:14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>
        <f>VLOOKUP(A221,Лист2!$A$1:$E$505, 3, 0)</f>
        <v>36</v>
      </c>
      <c r="F221" s="7">
        <f>VLOOKUP(A221,Лист2!$A$1:$E$505, 4, 0)</f>
        <v>5286</v>
      </c>
      <c r="G221" s="7">
        <f>VLOOKUP(A221,Лист2!$A$1:$E$505, 5, 0)</f>
        <v>4867</v>
      </c>
      <c r="H221" s="14">
        <f t="shared" si="15"/>
        <v>516.66666666666663</v>
      </c>
      <c r="I221">
        <f t="shared" si="16"/>
        <v>20</v>
      </c>
      <c r="K221" s="18">
        <f t="shared" si="17"/>
        <v>16687.5</v>
      </c>
      <c r="L221">
        <f t="shared" si="18"/>
        <v>37</v>
      </c>
      <c r="N221" s="19">
        <f t="shared" si="19"/>
        <v>7.3282257301679433E-4</v>
      </c>
    </row>
    <row r="222" spans="1:14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>
        <f>VLOOKUP(A222,Лист2!$A$1:$E$505, 3, 0)</f>
        <v>36</v>
      </c>
      <c r="F222" s="7">
        <f>VLOOKUP(A222,Лист2!$A$1:$E$505, 4, 0)</f>
        <v>5094</v>
      </c>
      <c r="G222" s="7">
        <f>VLOOKUP(A222,Лист2!$A$1:$E$505, 5, 0)</f>
        <v>4716</v>
      </c>
      <c r="H222" s="14">
        <f t="shared" si="15"/>
        <v>462.16666666666669</v>
      </c>
      <c r="I222">
        <f t="shared" si="16"/>
        <v>21</v>
      </c>
      <c r="K222" s="18">
        <f t="shared" si="17"/>
        <v>16687.5</v>
      </c>
      <c r="L222">
        <f t="shared" si="18"/>
        <v>37</v>
      </c>
      <c r="N222" s="19">
        <f t="shared" si="19"/>
        <v>7.3335999577584638E-4</v>
      </c>
    </row>
    <row r="223" spans="1:14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>
        <f>VLOOKUP(A223,Лист2!$A$1:$E$505, 3, 0)</f>
        <v>36</v>
      </c>
      <c r="F223" s="7">
        <f>VLOOKUP(A223,Лист2!$A$1:$E$505, 4, 0)</f>
        <v>4918</v>
      </c>
      <c r="G223" s="7">
        <f>VLOOKUP(A223,Лист2!$A$1:$E$505, 5, 0)</f>
        <v>4554</v>
      </c>
      <c r="H223" s="14">
        <f t="shared" si="15"/>
        <v>433.58333333333331</v>
      </c>
      <c r="I223">
        <f t="shared" si="16"/>
        <v>20</v>
      </c>
      <c r="K223" s="18">
        <f t="shared" si="17"/>
        <v>16687.5</v>
      </c>
      <c r="L223">
        <f t="shared" si="18"/>
        <v>37</v>
      </c>
      <c r="N223" s="19">
        <f t="shared" si="19"/>
        <v>7.3389820736209741E-4</v>
      </c>
    </row>
    <row r="224" spans="1:14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>
        <f>VLOOKUP(A224,Лист2!$A$1:$E$505, 3, 0)</f>
        <v>36</v>
      </c>
      <c r="F224" s="7">
        <f>VLOOKUP(A224,Лист2!$A$1:$E$505, 4, 0)</f>
        <v>5413</v>
      </c>
      <c r="G224" s="7">
        <f>VLOOKUP(A224,Лист2!$A$1:$E$505, 5, 0)</f>
        <v>4959</v>
      </c>
      <c r="H224" s="14">
        <f t="shared" si="15"/>
        <v>387.45833333333331</v>
      </c>
      <c r="I224">
        <f t="shared" si="16"/>
        <v>19</v>
      </c>
      <c r="K224" s="18">
        <f t="shared" si="17"/>
        <v>16687.5</v>
      </c>
      <c r="L224">
        <f t="shared" si="18"/>
        <v>37</v>
      </c>
      <c r="N224" s="19">
        <f t="shared" si="19"/>
        <v>7.3443720951357945E-4</v>
      </c>
    </row>
    <row r="225" spans="1:14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>
        <f>VLOOKUP(A225,Лист2!$A$1:$E$505, 3, 0)</f>
        <v>36</v>
      </c>
      <c r="F225" s="7">
        <f>VLOOKUP(A225,Лист2!$A$1:$E$505, 4, 0)</f>
        <v>4508</v>
      </c>
      <c r="G225" s="7">
        <f>VLOOKUP(A225,Лист2!$A$1:$E$505, 5, 0)</f>
        <v>4149</v>
      </c>
      <c r="H225" s="14">
        <f t="shared" si="15"/>
        <v>341.70833333333331</v>
      </c>
      <c r="I225">
        <f t="shared" si="16"/>
        <v>19</v>
      </c>
      <c r="K225" s="18">
        <f t="shared" si="17"/>
        <v>16687.5</v>
      </c>
      <c r="L225">
        <f t="shared" si="18"/>
        <v>37</v>
      </c>
      <c r="N225" s="19">
        <f t="shared" si="19"/>
        <v>7.3497700397343437E-4</v>
      </c>
    </row>
    <row r="226" spans="1:14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>
        <f>VLOOKUP(A226,Лист2!$A$1:$E$505, 3, 0)</f>
        <v>36</v>
      </c>
      <c r="F226" s="7">
        <f>VLOOKUP(A226,Лист2!$A$1:$E$505, 4, 0)</f>
        <v>4937</v>
      </c>
      <c r="G226" s="7">
        <f>VLOOKUP(A226,Лист2!$A$1:$E$505, 5, 0)</f>
        <v>4561</v>
      </c>
      <c r="H226" s="14">
        <f t="shared" si="15"/>
        <v>361.5</v>
      </c>
      <c r="I226">
        <f t="shared" si="16"/>
        <v>18</v>
      </c>
      <c r="K226" s="18">
        <f t="shared" si="17"/>
        <v>16687.5</v>
      </c>
      <c r="L226">
        <f t="shared" si="18"/>
        <v>37</v>
      </c>
      <c r="N226" s="19">
        <f t="shared" si="19"/>
        <v>7.3551759248993232E-4</v>
      </c>
    </row>
    <row r="227" spans="1:14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>
        <f>VLOOKUP(A227,Лист2!$A$1:$E$505, 3, 0)</f>
        <v>36</v>
      </c>
      <c r="F227" s="7">
        <f>VLOOKUP(A227,Лист2!$A$1:$E$505, 4, 0)</f>
        <v>3442</v>
      </c>
      <c r="G227" s="7">
        <f>VLOOKUP(A227,Лист2!$A$1:$E$505, 5, 0)</f>
        <v>3147</v>
      </c>
      <c r="H227" s="14">
        <f t="shared" si="15"/>
        <v>342.04166666666669</v>
      </c>
      <c r="I227">
        <f t="shared" si="16"/>
        <v>18</v>
      </c>
      <c r="K227" s="18">
        <f t="shared" si="17"/>
        <v>16687.5</v>
      </c>
      <c r="L227">
        <f t="shared" si="18"/>
        <v>37</v>
      </c>
      <c r="N227" s="19">
        <f t="shared" si="19"/>
        <v>7.3605897681649102E-4</v>
      </c>
    </row>
    <row r="228" spans="1:14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>
        <f>VLOOKUP(A228,Лист2!$A$1:$E$505, 3, 0)</f>
        <v>36</v>
      </c>
      <c r="F228" s="7">
        <f>VLOOKUP(A228,Лист2!$A$1:$E$505, 4, 0)</f>
        <v>4770</v>
      </c>
      <c r="G228" s="7">
        <f>VLOOKUP(A228,Лист2!$A$1:$E$505, 5, 0)</f>
        <v>4424</v>
      </c>
      <c r="H228" s="14">
        <f t="shared" si="15"/>
        <v>483.08333333333331</v>
      </c>
      <c r="I228">
        <f t="shared" si="16"/>
        <v>22</v>
      </c>
      <c r="K228" s="18">
        <f t="shared" si="17"/>
        <v>16687.5</v>
      </c>
      <c r="L228">
        <f t="shared" si="18"/>
        <v>37</v>
      </c>
      <c r="N228" s="19">
        <f t="shared" si="19"/>
        <v>7.3660115871169421E-4</v>
      </c>
    </row>
    <row r="229" spans="1:14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>
        <f>VLOOKUP(A229,Лист2!$A$1:$E$505, 3, 0)</f>
        <v>36</v>
      </c>
      <c r="F229" s="7">
        <f>VLOOKUP(A229,Лист2!$A$1:$E$505, 4, 0)</f>
        <v>5457</v>
      </c>
      <c r="G229" s="7">
        <f>VLOOKUP(A229,Лист2!$A$1:$E$505, 5, 0)</f>
        <v>4916</v>
      </c>
      <c r="H229" s="14">
        <f t="shared" si="15"/>
        <v>475.375</v>
      </c>
      <c r="I229">
        <f t="shared" si="16"/>
        <v>18</v>
      </c>
      <c r="K229" s="18">
        <f t="shared" si="17"/>
        <v>16687.5</v>
      </c>
      <c r="L229">
        <f t="shared" si="18"/>
        <v>37</v>
      </c>
      <c r="N229" s="19">
        <f t="shared" si="19"/>
        <v>7.3714413993931102E-4</v>
      </c>
    </row>
    <row r="230" spans="1:14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>
        <f>VLOOKUP(A230,Лист2!$A$1:$E$505, 3, 0)</f>
        <v>36</v>
      </c>
      <c r="F230" s="7">
        <f>VLOOKUP(A230,Лист2!$A$1:$E$505, 4, 0)</f>
        <v>4418</v>
      </c>
      <c r="G230" s="7">
        <f>VLOOKUP(A230,Лист2!$A$1:$E$505, 5, 0)</f>
        <v>4088</v>
      </c>
      <c r="H230" s="14">
        <f t="shared" si="15"/>
        <v>355.625</v>
      </c>
      <c r="I230">
        <f t="shared" si="16"/>
        <v>20</v>
      </c>
      <c r="K230" s="18">
        <f t="shared" si="17"/>
        <v>16687.5</v>
      </c>
      <c r="L230">
        <f t="shared" si="18"/>
        <v>37</v>
      </c>
      <c r="N230" s="19">
        <f t="shared" si="19"/>
        <v>7.376879222683151E-4</v>
      </c>
    </row>
    <row r="231" spans="1:14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>
        <f>VLOOKUP(A231,Лист2!$A$1:$E$505, 3, 0)</f>
        <v>36</v>
      </c>
      <c r="F231" s="7">
        <f>VLOOKUP(A231,Лист2!$A$1:$E$505, 4, 0)</f>
        <v>4816</v>
      </c>
      <c r="G231" s="7">
        <f>VLOOKUP(A231,Лист2!$A$1:$E$505, 5, 0)</f>
        <v>4452</v>
      </c>
      <c r="H231" s="14">
        <f t="shared" si="15"/>
        <v>459.83333333333331</v>
      </c>
      <c r="I231">
        <f t="shared" si="16"/>
        <v>21</v>
      </c>
      <c r="K231" s="18">
        <f t="shared" si="17"/>
        <v>16687.5</v>
      </c>
      <c r="L231">
        <f t="shared" si="18"/>
        <v>37</v>
      </c>
      <c r="N231" s="19">
        <f t="shared" si="19"/>
        <v>7.3823250747290367E-4</v>
      </c>
    </row>
    <row r="232" spans="1:14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>
        <f>VLOOKUP(A232,Лист2!$A$1:$E$505, 3, 0)</f>
        <v>36</v>
      </c>
      <c r="F232" s="7">
        <f>VLOOKUP(A232,Лист2!$A$1:$E$505, 4, 0)</f>
        <v>5914</v>
      </c>
      <c r="G232" s="7">
        <f>VLOOKUP(A232,Лист2!$A$1:$E$505, 5, 0)</f>
        <v>5384</v>
      </c>
      <c r="H232" s="14">
        <f t="shared" si="15"/>
        <v>481.375</v>
      </c>
      <c r="I232">
        <f t="shared" si="16"/>
        <v>21</v>
      </c>
      <c r="K232" s="18">
        <f t="shared" si="17"/>
        <v>16687.5</v>
      </c>
      <c r="L232">
        <f t="shared" si="18"/>
        <v>37</v>
      </c>
      <c r="N232" s="19">
        <f t="shared" si="19"/>
        <v>7.3877789733251703E-4</v>
      </c>
    </row>
    <row r="233" spans="1:14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>
        <f>VLOOKUP(A233,Лист2!$A$1:$E$505, 3, 0)</f>
        <v>36</v>
      </c>
      <c r="F233" s="7">
        <f>VLOOKUP(A233,Лист2!$A$1:$E$505, 4, 0)</f>
        <v>4575</v>
      </c>
      <c r="G233" s="7">
        <f>VLOOKUP(A233,Лист2!$A$1:$E$505, 5, 0)</f>
        <v>4206</v>
      </c>
      <c r="H233" s="14">
        <f t="shared" si="15"/>
        <v>444.08333333333331</v>
      </c>
      <c r="I233">
        <f t="shared" si="16"/>
        <v>19</v>
      </c>
      <c r="K233" s="18">
        <f t="shared" si="17"/>
        <v>16687.5</v>
      </c>
      <c r="L233">
        <f t="shared" si="18"/>
        <v>37</v>
      </c>
      <c r="N233" s="19">
        <f t="shared" si="19"/>
        <v>7.3932409363185766E-4</v>
      </c>
    </row>
    <row r="234" spans="1:14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>
        <f>VLOOKUP(A234,Лист2!$A$1:$E$505, 3, 0)</f>
        <v>36</v>
      </c>
      <c r="F234" s="7">
        <f>VLOOKUP(A234,Лист2!$A$1:$E$505, 4, 0)</f>
        <v>4923</v>
      </c>
      <c r="G234" s="7">
        <f>VLOOKUP(A234,Лист2!$A$1:$E$505, 5, 0)</f>
        <v>4560</v>
      </c>
      <c r="H234" s="14">
        <f t="shared" si="15"/>
        <v>369.54166666666669</v>
      </c>
      <c r="I234">
        <f t="shared" si="16"/>
        <v>18</v>
      </c>
      <c r="K234" s="18">
        <f t="shared" si="17"/>
        <v>16687.5</v>
      </c>
      <c r="L234">
        <f t="shared" si="18"/>
        <v>37</v>
      </c>
      <c r="N234" s="19">
        <f t="shared" si="19"/>
        <v>7.3987109816090987E-4</v>
      </c>
    </row>
    <row r="235" spans="1:14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>
        <f>VLOOKUP(A235,Лист2!$A$1:$E$505, 3, 0)</f>
        <v>36</v>
      </c>
      <c r="F235" s="7">
        <f>VLOOKUP(A235,Лист2!$A$1:$E$505, 4, 0)</f>
        <v>4967</v>
      </c>
      <c r="G235" s="7">
        <f>VLOOKUP(A235,Лист2!$A$1:$E$505, 5, 0)</f>
        <v>4583</v>
      </c>
      <c r="H235" s="14">
        <f t="shared" si="15"/>
        <v>397.375</v>
      </c>
      <c r="I235">
        <f t="shared" si="16"/>
        <v>20</v>
      </c>
      <c r="K235" s="18">
        <f t="shared" si="17"/>
        <v>16687.5</v>
      </c>
      <c r="L235">
        <f t="shared" si="18"/>
        <v>37</v>
      </c>
      <c r="N235" s="19">
        <f t="shared" si="19"/>
        <v>7.4041891271495945E-4</v>
      </c>
    </row>
    <row r="236" spans="1:14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>
        <f>VLOOKUP(A236,Лист2!$A$1:$E$505, 3, 0)</f>
        <v>36</v>
      </c>
      <c r="F236" s="7">
        <f>VLOOKUP(A236,Лист2!$A$1:$E$505, 4, 0)</f>
        <v>4751</v>
      </c>
      <c r="G236" s="7">
        <f>VLOOKUP(A236,Лист2!$A$1:$E$505, 5, 0)</f>
        <v>4370</v>
      </c>
      <c r="H236" s="14">
        <f t="shared" si="15"/>
        <v>359</v>
      </c>
      <c r="I236">
        <f t="shared" si="16"/>
        <v>18</v>
      </c>
      <c r="K236" s="18">
        <f t="shared" si="17"/>
        <v>16687.5</v>
      </c>
      <c r="L236">
        <f t="shared" si="18"/>
        <v>37</v>
      </c>
      <c r="N236" s="19">
        <f t="shared" si="19"/>
        <v>7.4096753909461295E-4</v>
      </c>
    </row>
    <row r="237" spans="1:14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>
        <f>VLOOKUP(A237,Лист2!$A$1:$E$505, 3, 0)</f>
        <v>36</v>
      </c>
      <c r="F237" s="7">
        <f>VLOOKUP(A237,Лист2!$A$1:$E$505, 4, 0)</f>
        <v>4384</v>
      </c>
      <c r="G237" s="7">
        <f>VLOOKUP(A237,Лист2!$A$1:$E$505, 5, 0)</f>
        <v>4025</v>
      </c>
      <c r="H237" s="14">
        <f t="shared" si="15"/>
        <v>390.58333333333331</v>
      </c>
      <c r="I237">
        <f t="shared" si="16"/>
        <v>19</v>
      </c>
      <c r="K237" s="18">
        <f t="shared" si="17"/>
        <v>16687.5</v>
      </c>
      <c r="L237">
        <f t="shared" si="18"/>
        <v>37</v>
      </c>
      <c r="N237" s="19">
        <f t="shared" si="19"/>
        <v>7.415169791058178E-4</v>
      </c>
    </row>
    <row r="238" spans="1:14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>
        <f>VLOOKUP(A238,Лист2!$A$1:$E$505, 3, 0)</f>
        <v>36</v>
      </c>
      <c r="F238" s="7">
        <f>VLOOKUP(A238,Лист2!$A$1:$E$505, 4, 0)</f>
        <v>5651</v>
      </c>
      <c r="G238" s="7">
        <f>VLOOKUP(A238,Лист2!$A$1:$E$505, 5, 0)</f>
        <v>5212</v>
      </c>
      <c r="H238" s="14">
        <f t="shared" si="15"/>
        <v>609.95833333333337</v>
      </c>
      <c r="I238">
        <f t="shared" si="16"/>
        <v>21</v>
      </c>
      <c r="K238" s="18">
        <f t="shared" si="17"/>
        <v>16687.5</v>
      </c>
      <c r="L238">
        <f t="shared" si="18"/>
        <v>37</v>
      </c>
      <c r="N238" s="19">
        <f t="shared" si="19"/>
        <v>7.4206723455988205E-4</v>
      </c>
    </row>
    <row r="239" spans="1:14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>
        <f>VLOOKUP(A239,Лист2!$A$1:$E$505, 3, 0)</f>
        <v>36</v>
      </c>
      <c r="F239" s="7">
        <f>VLOOKUP(A239,Лист2!$A$1:$E$505, 4, 0)</f>
        <v>4641</v>
      </c>
      <c r="G239" s="7">
        <f>VLOOKUP(A239,Лист2!$A$1:$E$505, 5, 0)</f>
        <v>4274</v>
      </c>
      <c r="H239" s="14">
        <f t="shared" si="15"/>
        <v>478.08333333333331</v>
      </c>
      <c r="I239">
        <f t="shared" si="16"/>
        <v>22</v>
      </c>
      <c r="K239" s="18">
        <f t="shared" si="17"/>
        <v>16687.5</v>
      </c>
      <c r="L239">
        <f t="shared" si="18"/>
        <v>37</v>
      </c>
      <c r="N239" s="19">
        <f t="shared" si="19"/>
        <v>7.4261830727349409E-4</v>
      </c>
    </row>
    <row r="240" spans="1:14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>
        <f>VLOOKUP(A240,Лист2!$A$1:$E$505, 3, 0)</f>
        <v>36</v>
      </c>
      <c r="F240" s="7">
        <f>VLOOKUP(A240,Лист2!$A$1:$E$505, 4, 0)</f>
        <v>5143</v>
      </c>
      <c r="G240" s="7">
        <f>VLOOKUP(A240,Лист2!$A$1:$E$505, 5, 0)</f>
        <v>4715</v>
      </c>
      <c r="H240" s="14">
        <f t="shared" si="15"/>
        <v>354.25</v>
      </c>
      <c r="I240">
        <f t="shared" si="16"/>
        <v>18</v>
      </c>
      <c r="K240" s="18">
        <f t="shared" si="17"/>
        <v>16687.5</v>
      </c>
      <c r="L240">
        <f t="shared" si="18"/>
        <v>37</v>
      </c>
      <c r="N240" s="19">
        <f t="shared" si="19"/>
        <v>7.4317019906874264E-4</v>
      </c>
    </row>
    <row r="241" spans="1:14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>
        <f>VLOOKUP(A241,Лист2!$A$1:$E$505, 3, 0)</f>
        <v>36</v>
      </c>
      <c r="F241" s="7">
        <f>VLOOKUP(A241,Лист2!$A$1:$E$505, 4, 0)</f>
        <v>5746</v>
      </c>
      <c r="G241" s="7">
        <f>VLOOKUP(A241,Лист2!$A$1:$E$505, 5, 0)</f>
        <v>5277</v>
      </c>
      <c r="H241" s="14">
        <f t="shared" si="15"/>
        <v>456.54166666666669</v>
      </c>
      <c r="I241">
        <f t="shared" si="16"/>
        <v>19</v>
      </c>
      <c r="K241" s="18">
        <f t="shared" si="17"/>
        <v>16687.5</v>
      </c>
      <c r="L241">
        <f t="shared" si="18"/>
        <v>37</v>
      </c>
      <c r="N241" s="19">
        <f t="shared" si="19"/>
        <v>7.4372291177313707E-4</v>
      </c>
    </row>
    <row r="242" spans="1:14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>
        <f>VLOOKUP(A242,Лист2!$A$1:$E$505, 3, 0)</f>
        <v>36</v>
      </c>
      <c r="F242" s="7">
        <f>VLOOKUP(A242,Лист2!$A$1:$E$505, 4, 0)</f>
        <v>4199</v>
      </c>
      <c r="G242" s="7">
        <f>VLOOKUP(A242,Лист2!$A$1:$E$505, 5, 0)</f>
        <v>3867</v>
      </c>
      <c r="H242" s="14">
        <f t="shared" si="15"/>
        <v>402.625</v>
      </c>
      <c r="I242">
        <f t="shared" si="16"/>
        <v>19</v>
      </c>
      <c r="K242" s="18">
        <f t="shared" si="17"/>
        <v>16687.5</v>
      </c>
      <c r="L242">
        <f t="shared" si="18"/>
        <v>37</v>
      </c>
      <c r="N242" s="19">
        <f t="shared" si="19"/>
        <v>7.4427644721962742E-4</v>
      </c>
    </row>
    <row r="243" spans="1:14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>
        <f>VLOOKUP(A243,Лист2!$A$1:$E$505, 3, 0)</f>
        <v>36</v>
      </c>
      <c r="F243" s="7">
        <f>VLOOKUP(A243,Лист2!$A$1:$E$505, 4, 0)</f>
        <v>4826</v>
      </c>
      <c r="G243" s="7">
        <f>VLOOKUP(A243,Лист2!$A$1:$E$505, 5, 0)</f>
        <v>4426</v>
      </c>
      <c r="H243" s="14">
        <f t="shared" si="15"/>
        <v>352.91666666666669</v>
      </c>
      <c r="I243">
        <f t="shared" si="16"/>
        <v>19</v>
      </c>
      <c r="K243" s="18">
        <f t="shared" si="17"/>
        <v>16687.5</v>
      </c>
      <c r="L243">
        <f t="shared" si="18"/>
        <v>37</v>
      </c>
      <c r="N243" s="19">
        <f t="shared" si="19"/>
        <v>7.4483080724662462E-4</v>
      </c>
    </row>
    <row r="244" spans="1:14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>
        <f>VLOOKUP(A244,Лист2!$A$1:$E$505, 3, 0)</f>
        <v>36</v>
      </c>
      <c r="F244" s="7">
        <f>VLOOKUP(A244,Лист2!$A$1:$E$505, 4, 0)</f>
        <v>4915</v>
      </c>
      <c r="G244" s="7">
        <f>VLOOKUP(A244,Лист2!$A$1:$E$505, 5, 0)</f>
        <v>4562</v>
      </c>
      <c r="H244" s="14">
        <f t="shared" si="15"/>
        <v>502.08333333333331</v>
      </c>
      <c r="I244">
        <f t="shared" si="16"/>
        <v>21</v>
      </c>
      <c r="K244" s="18">
        <f t="shared" si="17"/>
        <v>16687.5</v>
      </c>
      <c r="L244">
        <f t="shared" si="18"/>
        <v>37</v>
      </c>
      <c r="N244" s="19">
        <f t="shared" si="19"/>
        <v>7.453859936980211E-4</v>
      </c>
    </row>
    <row r="245" spans="1:14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>
        <f>VLOOKUP(A245,Лист2!$A$1:$E$505, 3, 0)</f>
        <v>36</v>
      </c>
      <c r="F245" s="7">
        <f>VLOOKUP(A245,Лист2!$A$1:$E$505, 4, 0)</f>
        <v>5286</v>
      </c>
      <c r="G245" s="7">
        <f>VLOOKUP(A245,Лист2!$A$1:$E$505, 5, 0)</f>
        <v>4867</v>
      </c>
      <c r="H245" s="14">
        <f t="shared" si="15"/>
        <v>364.45833333333331</v>
      </c>
      <c r="I245">
        <f t="shared" si="16"/>
        <v>20</v>
      </c>
      <c r="K245" s="18">
        <f t="shared" si="17"/>
        <v>16476</v>
      </c>
      <c r="L245">
        <f t="shared" si="18"/>
        <v>37</v>
      </c>
      <c r="N245" s="19">
        <f t="shared" si="19"/>
        <v>7.3648782206926257E-4</v>
      </c>
    </row>
    <row r="246" spans="1:14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>
        <f>VLOOKUP(A246,Лист2!$A$1:$E$505, 3, 0)</f>
        <v>36</v>
      </c>
      <c r="F246" s="7">
        <f>VLOOKUP(A246,Лист2!$A$1:$E$505, 4, 0)</f>
        <v>5094</v>
      </c>
      <c r="G246" s="7">
        <f>VLOOKUP(A246,Лист2!$A$1:$E$505, 5, 0)</f>
        <v>4716</v>
      </c>
      <c r="H246" s="14">
        <f t="shared" si="15"/>
        <v>451.04166666666669</v>
      </c>
      <c r="I246">
        <f t="shared" si="16"/>
        <v>21</v>
      </c>
      <c r="K246" s="18">
        <f t="shared" si="17"/>
        <v>16476</v>
      </c>
      <c r="L246">
        <f t="shared" si="18"/>
        <v>37</v>
      </c>
      <c r="N246" s="19">
        <f t="shared" si="19"/>
        <v>7.3703063615728436E-4</v>
      </c>
    </row>
    <row r="247" spans="1:14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>
        <f>VLOOKUP(A247,Лист2!$A$1:$E$505, 3, 0)</f>
        <v>36</v>
      </c>
      <c r="F247" s="7">
        <f>VLOOKUP(A247,Лист2!$A$1:$E$505, 4, 0)</f>
        <v>4918</v>
      </c>
      <c r="G247" s="7">
        <f>VLOOKUP(A247,Лист2!$A$1:$E$505, 5, 0)</f>
        <v>4554</v>
      </c>
      <c r="H247" s="14">
        <f t="shared" si="15"/>
        <v>332.41666666666669</v>
      </c>
      <c r="I247">
        <f t="shared" si="16"/>
        <v>20</v>
      </c>
      <c r="K247" s="18">
        <f t="shared" si="17"/>
        <v>16476</v>
      </c>
      <c r="L247">
        <f t="shared" si="18"/>
        <v>37</v>
      </c>
      <c r="N247" s="19">
        <f t="shared" si="19"/>
        <v>7.37574250976695E-4</v>
      </c>
    </row>
    <row r="248" spans="1:14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>
        <f>VLOOKUP(A248,Лист2!$A$1:$E$505, 3, 0)</f>
        <v>36</v>
      </c>
      <c r="F248" s="7">
        <f>VLOOKUP(A248,Лист2!$A$1:$E$505, 4, 0)</f>
        <v>5413</v>
      </c>
      <c r="G248" s="7">
        <f>VLOOKUP(A248,Лист2!$A$1:$E$505, 5, 0)</f>
        <v>4959</v>
      </c>
      <c r="H248" s="14">
        <f t="shared" si="15"/>
        <v>334.375</v>
      </c>
      <c r="I248">
        <f t="shared" si="16"/>
        <v>19</v>
      </c>
      <c r="K248" s="18">
        <f t="shared" si="17"/>
        <v>16476</v>
      </c>
      <c r="L248">
        <f t="shared" si="18"/>
        <v>37</v>
      </c>
      <c r="N248" s="19">
        <f t="shared" si="19"/>
        <v>7.3811866830059874E-4</v>
      </c>
    </row>
    <row r="249" spans="1:14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>
        <f>VLOOKUP(A249,Лист2!$A$1:$E$505, 3, 0)</f>
        <v>36</v>
      </c>
      <c r="F249" s="7">
        <f>VLOOKUP(A249,Лист2!$A$1:$E$505, 4, 0)</f>
        <v>4508</v>
      </c>
      <c r="G249" s="7">
        <f>VLOOKUP(A249,Лист2!$A$1:$E$505, 5, 0)</f>
        <v>4149</v>
      </c>
      <c r="H249" s="14">
        <f t="shared" si="15"/>
        <v>196.875</v>
      </c>
      <c r="I249">
        <f t="shared" si="16"/>
        <v>19</v>
      </c>
      <c r="K249" s="18">
        <f t="shared" si="17"/>
        <v>16476</v>
      </c>
      <c r="L249">
        <f t="shared" si="18"/>
        <v>37</v>
      </c>
      <c r="N249" s="19">
        <f t="shared" si="19"/>
        <v>7.3866388990733887E-4</v>
      </c>
    </row>
    <row r="250" spans="1:14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>
        <f>VLOOKUP(A250,Лист2!$A$1:$E$505, 3, 0)</f>
        <v>36</v>
      </c>
      <c r="F250" s="7">
        <f>VLOOKUP(A250,Лист2!$A$1:$E$505, 4, 0)</f>
        <v>4937</v>
      </c>
      <c r="G250" s="7">
        <f>VLOOKUP(A250,Лист2!$A$1:$E$505, 5, 0)</f>
        <v>4561</v>
      </c>
      <c r="H250" s="14">
        <f t="shared" si="15"/>
        <v>717.125</v>
      </c>
      <c r="I250">
        <f t="shared" si="16"/>
        <v>18</v>
      </c>
      <c r="K250" s="18">
        <f t="shared" si="17"/>
        <v>27960</v>
      </c>
      <c r="L250">
        <f t="shared" si="18"/>
        <v>37</v>
      </c>
      <c r="N250" s="19">
        <f t="shared" si="19"/>
        <v>1.2544494595503311E-3</v>
      </c>
    </row>
    <row r="251" spans="1:14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>
        <f>VLOOKUP(A251,Лист2!$A$1:$E$505, 3, 0)</f>
        <v>36</v>
      </c>
      <c r="F251" s="7">
        <f>VLOOKUP(A251,Лист2!$A$1:$E$505, 4, 0)</f>
        <v>3442</v>
      </c>
      <c r="G251" s="7">
        <f>VLOOKUP(A251,Лист2!$A$1:$E$505, 5, 0)</f>
        <v>3147</v>
      </c>
      <c r="H251" s="14">
        <f t="shared" si="15"/>
        <v>128.45833333333334</v>
      </c>
      <c r="I251">
        <f t="shared" si="16"/>
        <v>18</v>
      </c>
      <c r="K251" s="18">
        <f t="shared" si="17"/>
        <v>16476</v>
      </c>
      <c r="L251">
        <f t="shared" si="18"/>
        <v>37</v>
      </c>
      <c r="N251" s="19">
        <f t="shared" si="19"/>
        <v>7.401383837760372E-4</v>
      </c>
    </row>
    <row r="252" spans="1:14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>
        <f>VLOOKUP(A252,Лист2!$A$1:$E$505, 3, 0)</f>
        <v>36</v>
      </c>
      <c r="F252" s="7">
        <f>VLOOKUP(A252,Лист2!$A$1:$E$505, 4, 0)</f>
        <v>4770</v>
      </c>
      <c r="G252" s="7">
        <f>VLOOKUP(A252,Лист2!$A$1:$E$505, 5, 0)</f>
        <v>4424</v>
      </c>
      <c r="H252" s="14">
        <f t="shared" si="15"/>
        <v>340.54166666666669</v>
      </c>
      <c r="I252">
        <f t="shared" si="16"/>
        <v>22</v>
      </c>
      <c r="K252" s="18">
        <f t="shared" si="17"/>
        <v>16476</v>
      </c>
      <c r="L252">
        <f t="shared" si="18"/>
        <v>37</v>
      </c>
      <c r="N252" s="19">
        <f t="shared" si="19"/>
        <v>7.4068659435486768E-4</v>
      </c>
    </row>
    <row r="253" spans="1:14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>
        <f>VLOOKUP(A253,Лист2!$A$1:$E$505, 3, 0)</f>
        <v>36</v>
      </c>
      <c r="F253" s="7">
        <f>VLOOKUP(A253,Лист2!$A$1:$E$505, 4, 0)</f>
        <v>5457</v>
      </c>
      <c r="G253" s="7">
        <f>VLOOKUP(A253,Лист2!$A$1:$E$505, 5, 0)</f>
        <v>4916</v>
      </c>
      <c r="H253" s="14">
        <f t="shared" si="15"/>
        <v>151.29166666666666</v>
      </c>
      <c r="I253">
        <f t="shared" si="16"/>
        <v>18</v>
      </c>
      <c r="K253" s="18">
        <f t="shared" si="17"/>
        <v>16476</v>
      </c>
      <c r="L253">
        <f t="shared" si="18"/>
        <v>37</v>
      </c>
      <c r="N253" s="19">
        <f t="shared" si="19"/>
        <v>7.4123561764011204E-4</v>
      </c>
    </row>
    <row r="254" spans="1:14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>
        <f>VLOOKUP(A254,Лист2!$A$1:$E$505, 3, 0)</f>
        <v>36</v>
      </c>
      <c r="F254" s="7">
        <f>VLOOKUP(A254,Лист2!$A$1:$E$505, 4, 0)</f>
        <v>4418</v>
      </c>
      <c r="G254" s="7">
        <f>VLOOKUP(A254,Лист2!$A$1:$E$505, 5, 0)</f>
        <v>4088</v>
      </c>
      <c r="H254" s="14">
        <f t="shared" si="15"/>
        <v>313.79166666666669</v>
      </c>
      <c r="I254">
        <f t="shared" si="16"/>
        <v>20</v>
      </c>
      <c r="K254" s="18">
        <f t="shared" si="17"/>
        <v>16476</v>
      </c>
      <c r="L254">
        <f t="shared" si="18"/>
        <v>37</v>
      </c>
      <c r="N254" s="19">
        <f t="shared" si="19"/>
        <v>7.4178545544033184E-4</v>
      </c>
    </row>
    <row r="255" spans="1:14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>
        <f>VLOOKUP(A255,Лист2!$A$1:$E$505, 3, 0)</f>
        <v>36</v>
      </c>
      <c r="F255" s="7">
        <f>VLOOKUP(A255,Лист2!$A$1:$E$505, 4, 0)</f>
        <v>4816</v>
      </c>
      <c r="G255" s="7">
        <f>VLOOKUP(A255,Лист2!$A$1:$E$505, 5, 0)</f>
        <v>4452</v>
      </c>
      <c r="H255" s="14">
        <f t="shared" si="15"/>
        <v>337.08333333333331</v>
      </c>
      <c r="I255">
        <f t="shared" si="16"/>
        <v>21</v>
      </c>
      <c r="K255" s="18">
        <f t="shared" si="17"/>
        <v>16476</v>
      </c>
      <c r="L255">
        <f t="shared" si="18"/>
        <v>37</v>
      </c>
      <c r="N255" s="19">
        <f t="shared" si="19"/>
        <v>7.4233610956945856E-4</v>
      </c>
    </row>
    <row r="256" spans="1:14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>
        <f>VLOOKUP(A256,Лист2!$A$1:$E$505, 3, 0)</f>
        <v>36</v>
      </c>
      <c r="F256" s="7">
        <f>VLOOKUP(A256,Лист2!$A$1:$E$505, 4, 0)</f>
        <v>5914</v>
      </c>
      <c r="G256" s="7">
        <f>VLOOKUP(A256,Лист2!$A$1:$E$505, 5, 0)</f>
        <v>5384</v>
      </c>
      <c r="H256" s="14">
        <f t="shared" si="15"/>
        <v>350.83333333333331</v>
      </c>
      <c r="I256">
        <f t="shared" si="16"/>
        <v>21</v>
      </c>
      <c r="K256" s="18">
        <f t="shared" si="17"/>
        <v>16476</v>
      </c>
      <c r="L256">
        <f t="shared" si="18"/>
        <v>37</v>
      </c>
      <c r="N256" s="19">
        <f t="shared" si="19"/>
        <v>7.4288758184681424E-4</v>
      </c>
    </row>
    <row r="257" spans="1:14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>
        <f>VLOOKUP(A257,Лист2!$A$1:$E$505, 3, 0)</f>
        <v>36</v>
      </c>
      <c r="F257" s="7">
        <f>VLOOKUP(A257,Лист2!$A$1:$E$505, 4, 0)</f>
        <v>4575</v>
      </c>
      <c r="G257" s="7">
        <f>VLOOKUP(A257,Лист2!$A$1:$E$505, 5, 0)</f>
        <v>4206</v>
      </c>
      <c r="H257" s="14">
        <f t="shared" si="15"/>
        <v>228.41666666666666</v>
      </c>
      <c r="I257">
        <f t="shared" si="16"/>
        <v>19</v>
      </c>
      <c r="K257" s="18">
        <f t="shared" si="17"/>
        <v>16476</v>
      </c>
      <c r="L257">
        <f t="shared" si="18"/>
        <v>37</v>
      </c>
      <c r="N257" s="19">
        <f t="shared" si="19"/>
        <v>7.4343987409713076E-4</v>
      </c>
    </row>
    <row r="258" spans="1:14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>
        <f>VLOOKUP(A258,Лист2!$A$1:$E$505, 3, 0)</f>
        <v>36</v>
      </c>
      <c r="F258" s="7">
        <f>VLOOKUP(A258,Лист2!$A$1:$E$505, 4, 0)</f>
        <v>4923</v>
      </c>
      <c r="G258" s="7">
        <f>VLOOKUP(A258,Лист2!$A$1:$E$505, 5, 0)</f>
        <v>4560</v>
      </c>
      <c r="H258" s="14">
        <f t="shared" si="15"/>
        <v>698.58333333333337</v>
      </c>
      <c r="I258">
        <f t="shared" si="16"/>
        <v>18</v>
      </c>
      <c r="K258" s="18">
        <f t="shared" si="17"/>
        <v>27960</v>
      </c>
      <c r="L258">
        <f t="shared" si="18"/>
        <v>37</v>
      </c>
      <c r="N258" s="19">
        <f t="shared" si="19"/>
        <v>1.2625663964973266E-3</v>
      </c>
    </row>
    <row r="259" spans="1:14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>
        <f>VLOOKUP(A259,Лист2!$A$1:$E$505, 3, 0)</f>
        <v>36</v>
      </c>
      <c r="F259" s="7">
        <f>VLOOKUP(A259,Лист2!$A$1:$E$505, 4, 0)</f>
        <v>4967</v>
      </c>
      <c r="G259" s="7">
        <f>VLOOKUP(A259,Лист2!$A$1:$E$505, 5, 0)</f>
        <v>4583</v>
      </c>
      <c r="H259" s="14">
        <f t="shared" ref="H259:H322" si="20">IF(E259&gt;0, C259 / E259, 0)</f>
        <v>288.91666666666669</v>
      </c>
      <c r="I259">
        <f t="shared" ref="I259:I322" si="21">WEEKNUM(A259,2)</f>
        <v>20</v>
      </c>
      <c r="K259" s="18">
        <f t="shared" ref="K259:K322" si="22">SUMIFS($C:$C,$B:$B,B259,$I:$I,$J$2)</f>
        <v>16476</v>
      </c>
      <c r="L259">
        <f t="shared" ref="L259:L322" si="23">SUMIFS($E:$E,$B:$B,B259,$I:$I,$J$2)</f>
        <v>37</v>
      </c>
      <c r="N259" s="19">
        <f t="shared" ref="N259:N322" si="24">K259/ SUM(K259:K762)</f>
        <v>7.4493351617571863E-4</v>
      </c>
    </row>
    <row r="260" spans="1:14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>
        <f>VLOOKUP(A260,Лист2!$A$1:$E$505, 3, 0)</f>
        <v>37</v>
      </c>
      <c r="F260" s="7">
        <f>VLOOKUP(A260,Лист2!$A$1:$E$505, 4, 0)</f>
        <v>5215</v>
      </c>
      <c r="G260" s="7">
        <f>VLOOKUP(A260,Лист2!$A$1:$E$505, 5, 0)</f>
        <v>4848</v>
      </c>
      <c r="H260" s="14">
        <f t="shared" si="20"/>
        <v>478.09459459459458</v>
      </c>
      <c r="I260">
        <f t="shared" si="21"/>
        <v>22</v>
      </c>
      <c r="K260" s="18">
        <f t="shared" si="22"/>
        <v>16687.5</v>
      </c>
      <c r="L260">
        <f t="shared" si="23"/>
        <v>37</v>
      </c>
      <c r="N260" s="19">
        <f t="shared" si="24"/>
        <v>7.5505858711672543E-4</v>
      </c>
    </row>
    <row r="261" spans="1:14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>
        <f>VLOOKUP(A261,Лист2!$A$1:$E$505, 3, 0)</f>
        <v>36</v>
      </c>
      <c r="F261" s="7">
        <f>VLOOKUP(A261,Лист2!$A$1:$E$505, 4, 0)</f>
        <v>4751</v>
      </c>
      <c r="G261" s="7">
        <f>VLOOKUP(A261,Лист2!$A$1:$E$505, 5, 0)</f>
        <v>4370</v>
      </c>
      <c r="H261" s="14">
        <f t="shared" si="20"/>
        <v>225.75</v>
      </c>
      <c r="I261">
        <f t="shared" si="21"/>
        <v>18</v>
      </c>
      <c r="K261" s="18">
        <f t="shared" si="22"/>
        <v>16476</v>
      </c>
      <c r="L261">
        <f t="shared" si="23"/>
        <v>37</v>
      </c>
      <c r="N261" s="19">
        <f t="shared" si="24"/>
        <v>7.460521689069174E-4</v>
      </c>
    </row>
    <row r="262" spans="1:14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>
        <f>VLOOKUP(A262,Лист2!$A$1:$E$505, 3, 0)</f>
        <v>37</v>
      </c>
      <c r="F262" s="7">
        <f>VLOOKUP(A262,Лист2!$A$1:$E$505, 4, 0)</f>
        <v>6645</v>
      </c>
      <c r="G262" s="7">
        <f>VLOOKUP(A262,Лист2!$A$1:$E$505, 5, 0)</f>
        <v>6122</v>
      </c>
      <c r="H262" s="14">
        <f t="shared" si="20"/>
        <v>736.5</v>
      </c>
      <c r="I262">
        <f t="shared" si="21"/>
        <v>22</v>
      </c>
      <c r="K262" s="18">
        <f t="shared" si="22"/>
        <v>16687.5</v>
      </c>
      <c r="L262">
        <f t="shared" si="23"/>
        <v>37</v>
      </c>
      <c r="N262" s="19">
        <f t="shared" si="24"/>
        <v>7.5619329102593301E-4</v>
      </c>
    </row>
    <row r="263" spans="1:14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>
        <f>VLOOKUP(A263,Лист2!$A$1:$E$505, 3, 0)</f>
        <v>36</v>
      </c>
      <c r="F263" s="7">
        <f>VLOOKUP(A263,Лист2!$A$1:$E$505, 4, 0)</f>
        <v>4384</v>
      </c>
      <c r="G263" s="7">
        <f>VLOOKUP(A263,Лист2!$A$1:$E$505, 5, 0)</f>
        <v>4025</v>
      </c>
      <c r="H263" s="14">
        <f t="shared" si="20"/>
        <v>235.125</v>
      </c>
      <c r="I263">
        <f t="shared" si="21"/>
        <v>19</v>
      </c>
      <c r="K263" s="18">
        <f t="shared" si="22"/>
        <v>16476</v>
      </c>
      <c r="L263">
        <f t="shared" si="23"/>
        <v>37</v>
      </c>
      <c r="N263" s="19">
        <f t="shared" si="24"/>
        <v>7.4717418641070824E-4</v>
      </c>
    </row>
    <row r="264" spans="1:14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>
        <f>VLOOKUP(A264,Лист2!$A$1:$E$505, 3, 0)</f>
        <v>36</v>
      </c>
      <c r="F264" s="7">
        <f>VLOOKUP(A264,Лист2!$A$1:$E$505, 4, 0)</f>
        <v>5651</v>
      </c>
      <c r="G264" s="7">
        <f>VLOOKUP(A264,Лист2!$A$1:$E$505, 5, 0)</f>
        <v>5212</v>
      </c>
      <c r="H264" s="14">
        <f t="shared" si="20"/>
        <v>393.54166666666669</v>
      </c>
      <c r="I264">
        <f t="shared" si="21"/>
        <v>21</v>
      </c>
      <c r="K264" s="18">
        <f t="shared" si="22"/>
        <v>16476</v>
      </c>
      <c r="L264">
        <f t="shared" si="23"/>
        <v>37</v>
      </c>
      <c r="N264" s="19">
        <f t="shared" si="24"/>
        <v>7.4773287311182815E-4</v>
      </c>
    </row>
    <row r="265" spans="1:14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>
        <f>VLOOKUP(A265,Лист2!$A$1:$E$505, 3, 0)</f>
        <v>37</v>
      </c>
      <c r="F265" s="7">
        <f>VLOOKUP(A265,Лист2!$A$1:$E$505, 4, 0)</f>
        <v>4840</v>
      </c>
      <c r="G265" s="7">
        <f>VLOOKUP(A265,Лист2!$A$1:$E$505, 5, 0)</f>
        <v>4475</v>
      </c>
      <c r="H265" s="14">
        <f t="shared" si="20"/>
        <v>445.94594594594594</v>
      </c>
      <c r="I265">
        <f t="shared" si="21"/>
        <v>22</v>
      </c>
      <c r="K265" s="18">
        <f t="shared" si="22"/>
        <v>16687.5</v>
      </c>
      <c r="L265">
        <f t="shared" si="23"/>
        <v>37</v>
      </c>
      <c r="N265" s="19">
        <f t="shared" si="24"/>
        <v>7.5789811587550278E-4</v>
      </c>
    </row>
    <row r="266" spans="1:14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>
        <f>VLOOKUP(A266,Лист2!$A$1:$E$505, 3, 0)</f>
        <v>36</v>
      </c>
      <c r="F266" s="7">
        <f>VLOOKUP(A266,Лист2!$A$1:$E$505, 4, 0)</f>
        <v>4641</v>
      </c>
      <c r="G266" s="7">
        <f>VLOOKUP(A266,Лист2!$A$1:$E$505, 5, 0)</f>
        <v>4274</v>
      </c>
      <c r="H266" s="14">
        <f t="shared" si="20"/>
        <v>368.33333333333331</v>
      </c>
      <c r="I266">
        <f t="shared" si="21"/>
        <v>22</v>
      </c>
      <c r="K266" s="18">
        <f t="shared" si="22"/>
        <v>16476</v>
      </c>
      <c r="L266">
        <f t="shared" si="23"/>
        <v>37</v>
      </c>
      <c r="N266" s="19">
        <f t="shared" si="24"/>
        <v>7.4885995548428451E-4</v>
      </c>
    </row>
    <row r="267" spans="1:14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>
        <f>VLOOKUP(A267,Лист2!$A$1:$E$505, 3, 0)</f>
        <v>36</v>
      </c>
      <c r="F267" s="7">
        <f>VLOOKUP(A267,Лист2!$A$1:$E$505, 4, 0)</f>
        <v>5143</v>
      </c>
      <c r="G267" s="7">
        <f>VLOOKUP(A267,Лист2!$A$1:$E$505, 5, 0)</f>
        <v>4715</v>
      </c>
      <c r="H267" s="14">
        <f t="shared" si="20"/>
        <v>119.04166666666667</v>
      </c>
      <c r="I267">
        <f t="shared" si="21"/>
        <v>18</v>
      </c>
      <c r="K267" s="18">
        <f t="shared" si="22"/>
        <v>16476</v>
      </c>
      <c r="L267">
        <f t="shared" si="23"/>
        <v>37</v>
      </c>
      <c r="N267" s="19">
        <f t="shared" si="24"/>
        <v>7.4942116698603265E-4</v>
      </c>
    </row>
    <row r="268" spans="1:14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>
        <f>VLOOKUP(A268,Лист2!$A$1:$E$505, 3, 0)</f>
        <v>36</v>
      </c>
      <c r="F268" s="7">
        <f>VLOOKUP(A268,Лист2!$A$1:$E$505, 4, 0)</f>
        <v>5746</v>
      </c>
      <c r="G268" s="7">
        <f>VLOOKUP(A268,Лист2!$A$1:$E$505, 5, 0)</f>
        <v>5277</v>
      </c>
      <c r="H268" s="14">
        <f t="shared" si="20"/>
        <v>373.33333333333331</v>
      </c>
      <c r="I268">
        <f t="shared" si="21"/>
        <v>19</v>
      </c>
      <c r="K268" s="18">
        <f t="shared" si="22"/>
        <v>16476</v>
      </c>
      <c r="L268">
        <f t="shared" si="23"/>
        <v>37</v>
      </c>
      <c r="N268" s="19">
        <f t="shared" si="24"/>
        <v>7.499832202861994E-4</v>
      </c>
    </row>
    <row r="269" spans="1:14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>
        <f>VLOOKUP(A269,Лист2!$A$1:$E$505, 3, 0)</f>
        <v>36</v>
      </c>
      <c r="F269" s="7">
        <f>VLOOKUP(A269,Лист2!$A$1:$E$505, 4, 0)</f>
        <v>4199</v>
      </c>
      <c r="G269" s="7">
        <f>VLOOKUP(A269,Лист2!$A$1:$E$505, 5, 0)</f>
        <v>3867</v>
      </c>
      <c r="H269" s="14">
        <f t="shared" si="20"/>
        <v>251.625</v>
      </c>
      <c r="I269">
        <f t="shared" si="21"/>
        <v>19</v>
      </c>
      <c r="K269" s="18">
        <f t="shared" si="22"/>
        <v>16476</v>
      </c>
      <c r="L269">
        <f t="shared" si="23"/>
        <v>37</v>
      </c>
      <c r="N269" s="19">
        <f t="shared" si="24"/>
        <v>7.5054611728021055E-4</v>
      </c>
    </row>
    <row r="270" spans="1:14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>
        <f>VLOOKUP(A270,Лист2!$A$1:$E$505, 3, 0)</f>
        <v>36</v>
      </c>
      <c r="F270" s="7">
        <f>VLOOKUP(A270,Лист2!$A$1:$E$505, 4, 0)</f>
        <v>4826</v>
      </c>
      <c r="G270" s="7">
        <f>VLOOKUP(A270,Лист2!$A$1:$E$505, 5, 0)</f>
        <v>4426</v>
      </c>
      <c r="H270" s="14">
        <f t="shared" si="20"/>
        <v>242.20833333333334</v>
      </c>
      <c r="I270">
        <f t="shared" si="21"/>
        <v>19</v>
      </c>
      <c r="K270" s="18">
        <f t="shared" si="22"/>
        <v>16476</v>
      </c>
      <c r="L270">
        <f t="shared" si="23"/>
        <v>37</v>
      </c>
      <c r="N270" s="19">
        <f t="shared" si="24"/>
        <v>7.5110985986918629E-4</v>
      </c>
    </row>
    <row r="271" spans="1:14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>
        <f>VLOOKUP(A271,Лист2!$A$1:$E$505, 3, 0)</f>
        <v>36</v>
      </c>
      <c r="F271" s="7">
        <f>VLOOKUP(A271,Лист2!$A$1:$E$505, 4, 0)</f>
        <v>4915</v>
      </c>
      <c r="G271" s="7">
        <f>VLOOKUP(A271,Лист2!$A$1:$E$505, 5, 0)</f>
        <v>4562</v>
      </c>
      <c r="H271" s="14">
        <f t="shared" si="20"/>
        <v>351.83333333333331</v>
      </c>
      <c r="I271">
        <f t="shared" si="21"/>
        <v>21</v>
      </c>
      <c r="K271" s="18">
        <f t="shared" si="22"/>
        <v>16476</v>
      </c>
      <c r="L271">
        <f t="shared" si="23"/>
        <v>37</v>
      </c>
      <c r="N271" s="19">
        <f t="shared" si="24"/>
        <v>7.5167444995996298E-4</v>
      </c>
    </row>
    <row r="272" spans="1:14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>
        <f>VLOOKUP(A272,Лист2!$A$1:$E$505, 3, 0)</f>
        <v>36</v>
      </c>
      <c r="F272" s="7">
        <f>VLOOKUP(A272,Лист2!$A$1:$E$505, 4, 0)</f>
        <v>5286</v>
      </c>
      <c r="G272" s="7">
        <f>VLOOKUP(A272,Лист2!$A$1:$E$505, 5, 0)</f>
        <v>4867</v>
      </c>
      <c r="H272" s="14">
        <f t="shared" si="20"/>
        <v>960.08333333333337</v>
      </c>
      <c r="I272">
        <f t="shared" si="21"/>
        <v>20</v>
      </c>
      <c r="K272" s="18">
        <f t="shared" si="22"/>
        <v>27960</v>
      </c>
      <c r="L272">
        <f t="shared" si="23"/>
        <v>37</v>
      </c>
      <c r="N272" s="19">
        <f t="shared" si="24"/>
        <v>1.276561502151287E-3</v>
      </c>
    </row>
    <row r="273" spans="1:14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>
        <f>VLOOKUP(A273,Лист2!$A$1:$E$505, 3, 0)</f>
        <v>36</v>
      </c>
      <c r="F273" s="7">
        <f>VLOOKUP(A273,Лист2!$A$1:$E$505, 4, 0)</f>
        <v>5094</v>
      </c>
      <c r="G273" s="7">
        <f>VLOOKUP(A273,Лист2!$A$1:$E$505, 5, 0)</f>
        <v>4716</v>
      </c>
      <c r="H273" s="14">
        <f t="shared" si="20"/>
        <v>802.29166666666663</v>
      </c>
      <c r="I273">
        <f t="shared" si="21"/>
        <v>21</v>
      </c>
      <c r="K273" s="18">
        <f t="shared" si="22"/>
        <v>27960</v>
      </c>
      <c r="L273">
        <f t="shared" si="23"/>
        <v>37</v>
      </c>
      <c r="N273" s="19">
        <f t="shared" si="24"/>
        <v>1.2781931943755384E-3</v>
      </c>
    </row>
    <row r="274" spans="1:14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>
        <f>VLOOKUP(A274,Лист2!$A$1:$E$505, 3, 0)</f>
        <v>36</v>
      </c>
      <c r="F274" s="7">
        <f>VLOOKUP(A274,Лист2!$A$1:$E$505, 4, 0)</f>
        <v>4918</v>
      </c>
      <c r="G274" s="7">
        <f>VLOOKUP(A274,Лист2!$A$1:$E$505, 5, 0)</f>
        <v>4554</v>
      </c>
      <c r="H274" s="14">
        <f t="shared" si="20"/>
        <v>785.41666666666663</v>
      </c>
      <c r="I274">
        <f t="shared" si="21"/>
        <v>20</v>
      </c>
      <c r="K274" s="18">
        <f t="shared" si="22"/>
        <v>27960</v>
      </c>
      <c r="L274">
        <f t="shared" si="23"/>
        <v>37</v>
      </c>
      <c r="N274" s="19">
        <f t="shared" si="24"/>
        <v>1.2798290631740516E-3</v>
      </c>
    </row>
    <row r="275" spans="1:14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>
        <f>VLOOKUP(A275,Лист2!$A$1:$E$505, 3, 0)</f>
        <v>36</v>
      </c>
      <c r="F275" s="7">
        <f>VLOOKUP(A275,Лист2!$A$1:$E$505, 4, 0)</f>
        <v>5413</v>
      </c>
      <c r="G275" s="7">
        <f>VLOOKUP(A275,Лист2!$A$1:$E$505, 5, 0)</f>
        <v>4959</v>
      </c>
      <c r="H275" s="14">
        <f t="shared" si="20"/>
        <v>729.75</v>
      </c>
      <c r="I275">
        <f t="shared" si="21"/>
        <v>19</v>
      </c>
      <c r="K275" s="18">
        <f t="shared" si="22"/>
        <v>27960</v>
      </c>
      <c r="L275">
        <f t="shared" si="23"/>
        <v>37</v>
      </c>
      <c r="N275" s="19">
        <f t="shared" si="24"/>
        <v>1.281469124603279E-3</v>
      </c>
    </row>
    <row r="276" spans="1:14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>
        <f>VLOOKUP(A276,Лист2!$A$1:$E$505, 3, 0)</f>
        <v>36</v>
      </c>
      <c r="F276" s="7">
        <f>VLOOKUP(A276,Лист2!$A$1:$E$505, 4, 0)</f>
        <v>4508</v>
      </c>
      <c r="G276" s="7">
        <f>VLOOKUP(A276,Лист2!$A$1:$E$505, 5, 0)</f>
        <v>4149</v>
      </c>
      <c r="H276" s="14">
        <f t="shared" si="20"/>
        <v>655.20833333333337</v>
      </c>
      <c r="I276">
        <f t="shared" si="21"/>
        <v>19</v>
      </c>
      <c r="K276" s="18">
        <f t="shared" si="22"/>
        <v>27960</v>
      </c>
      <c r="L276">
        <f t="shared" si="23"/>
        <v>37</v>
      </c>
      <c r="N276" s="19">
        <f t="shared" si="24"/>
        <v>1.283113394802083E-3</v>
      </c>
    </row>
    <row r="277" spans="1:14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>
        <f>VLOOKUP(A277,Лист2!$A$1:$E$505, 3, 0)</f>
        <v>36</v>
      </c>
      <c r="F277" s="7">
        <f>VLOOKUP(A277,Лист2!$A$1:$E$505, 4, 0)</f>
        <v>3442</v>
      </c>
      <c r="G277" s="7">
        <f>VLOOKUP(A277,Лист2!$A$1:$E$505, 5, 0)</f>
        <v>3147</v>
      </c>
      <c r="H277" s="14">
        <f t="shared" si="20"/>
        <v>511.875</v>
      </c>
      <c r="I277">
        <f t="shared" si="21"/>
        <v>18</v>
      </c>
      <c r="K277" s="18">
        <f t="shared" si="22"/>
        <v>27960</v>
      </c>
      <c r="L277">
        <f t="shared" si="23"/>
        <v>37</v>
      </c>
      <c r="N277" s="19">
        <f t="shared" si="24"/>
        <v>1.2847618899922632E-3</v>
      </c>
    </row>
    <row r="278" spans="1:14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>
        <f>VLOOKUP(A278,Лист2!$A$1:$E$505, 3, 0)</f>
        <v>36</v>
      </c>
      <c r="F278" s="7">
        <f>VLOOKUP(A278,Лист2!$A$1:$E$505, 4, 0)</f>
        <v>4770</v>
      </c>
      <c r="G278" s="7">
        <f>VLOOKUP(A278,Лист2!$A$1:$E$505, 5, 0)</f>
        <v>4424</v>
      </c>
      <c r="H278" s="14">
        <f t="shared" si="20"/>
        <v>754.33333333333337</v>
      </c>
      <c r="I278">
        <f t="shared" si="21"/>
        <v>22</v>
      </c>
      <c r="K278" s="18">
        <f t="shared" si="22"/>
        <v>27960</v>
      </c>
      <c r="L278">
        <f t="shared" si="23"/>
        <v>37</v>
      </c>
      <c r="N278" s="19">
        <f t="shared" si="24"/>
        <v>1.2864146264790922E-3</v>
      </c>
    </row>
    <row r="279" spans="1:14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>
        <f>VLOOKUP(A279,Лист2!$A$1:$E$505, 3, 0)</f>
        <v>36</v>
      </c>
      <c r="F279" s="7">
        <f>VLOOKUP(A279,Лист2!$A$1:$E$505, 4, 0)</f>
        <v>5457</v>
      </c>
      <c r="G279" s="7">
        <f>VLOOKUP(A279,Лист2!$A$1:$E$505, 5, 0)</f>
        <v>4916</v>
      </c>
      <c r="H279" s="14">
        <f t="shared" si="20"/>
        <v>977.5</v>
      </c>
      <c r="I279">
        <f t="shared" si="21"/>
        <v>18</v>
      </c>
      <c r="K279" s="18">
        <f t="shared" si="22"/>
        <v>27960</v>
      </c>
      <c r="L279">
        <f t="shared" si="23"/>
        <v>37</v>
      </c>
      <c r="N279" s="19">
        <f t="shared" si="24"/>
        <v>1.2880716206518513E-3</v>
      </c>
    </row>
    <row r="280" spans="1:14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>
        <f>VLOOKUP(A280,Лист2!$A$1:$E$505, 3, 0)</f>
        <v>36</v>
      </c>
      <c r="F280" s="7">
        <f>VLOOKUP(A280,Лист2!$A$1:$E$505, 4, 0)</f>
        <v>4418</v>
      </c>
      <c r="G280" s="7">
        <f>VLOOKUP(A280,Лист2!$A$1:$E$505, 5, 0)</f>
        <v>4088</v>
      </c>
      <c r="H280" s="14">
        <f t="shared" si="20"/>
        <v>707.875</v>
      </c>
      <c r="I280">
        <f t="shared" si="21"/>
        <v>20</v>
      </c>
      <c r="K280" s="18">
        <f t="shared" si="22"/>
        <v>27960</v>
      </c>
      <c r="L280">
        <f t="shared" si="23"/>
        <v>37</v>
      </c>
      <c r="N280" s="19">
        <f t="shared" si="24"/>
        <v>1.2897328889843733E-3</v>
      </c>
    </row>
    <row r="281" spans="1:14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>
        <f>VLOOKUP(A281,Лист2!$A$1:$E$505, 3, 0)</f>
        <v>36</v>
      </c>
      <c r="F281" s="7">
        <f>VLOOKUP(A281,Лист2!$A$1:$E$505, 4, 0)</f>
        <v>4816</v>
      </c>
      <c r="G281" s="7">
        <f>VLOOKUP(A281,Лист2!$A$1:$E$505, 5, 0)</f>
        <v>4452</v>
      </c>
      <c r="H281" s="14">
        <f t="shared" si="20"/>
        <v>704.5</v>
      </c>
      <c r="I281">
        <f t="shared" si="21"/>
        <v>21</v>
      </c>
      <c r="K281" s="18">
        <f t="shared" si="22"/>
        <v>27960</v>
      </c>
      <c r="L281">
        <f t="shared" si="23"/>
        <v>37</v>
      </c>
      <c r="N281" s="19">
        <f t="shared" si="24"/>
        <v>1.2913984480355883E-3</v>
      </c>
    </row>
    <row r="282" spans="1:14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>
        <f>VLOOKUP(A282,Лист2!$A$1:$E$505, 3, 0)</f>
        <v>36</v>
      </c>
      <c r="F282" s="7">
        <f>VLOOKUP(A282,Лист2!$A$1:$E$505, 4, 0)</f>
        <v>5914</v>
      </c>
      <c r="G282" s="7">
        <f>VLOOKUP(A282,Лист2!$A$1:$E$505, 5, 0)</f>
        <v>5384</v>
      </c>
      <c r="H282" s="14">
        <f t="shared" si="20"/>
        <v>801.375</v>
      </c>
      <c r="I282">
        <f t="shared" si="21"/>
        <v>21</v>
      </c>
      <c r="K282" s="18">
        <f t="shared" si="22"/>
        <v>27960</v>
      </c>
      <c r="L282">
        <f t="shared" si="23"/>
        <v>37</v>
      </c>
      <c r="N282" s="19">
        <f t="shared" si="24"/>
        <v>1.293068314450073E-3</v>
      </c>
    </row>
    <row r="283" spans="1:14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>
        <f>VLOOKUP(A283,Лист2!$A$1:$E$505, 3, 0)</f>
        <v>36</v>
      </c>
      <c r="F283" s="7">
        <f>VLOOKUP(A283,Лист2!$A$1:$E$505, 4, 0)</f>
        <v>4575</v>
      </c>
      <c r="G283" s="7">
        <f>VLOOKUP(A283,Лист2!$A$1:$E$505, 5, 0)</f>
        <v>4206</v>
      </c>
      <c r="H283" s="14">
        <f t="shared" si="20"/>
        <v>732.41666666666663</v>
      </c>
      <c r="I283">
        <f t="shared" si="21"/>
        <v>19</v>
      </c>
      <c r="K283" s="18">
        <f t="shared" si="22"/>
        <v>27960</v>
      </c>
      <c r="L283">
        <f t="shared" si="23"/>
        <v>37</v>
      </c>
      <c r="N283" s="19">
        <f t="shared" si="24"/>
        <v>1.2947425049586068E-3</v>
      </c>
    </row>
    <row r="284" spans="1:14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>
        <f>VLOOKUP(A284,Лист2!$A$1:$E$505, 3, 0)</f>
        <v>36</v>
      </c>
      <c r="F284" s="7">
        <f>VLOOKUP(A284,Лист2!$A$1:$E$505, 4, 0)</f>
        <v>4967</v>
      </c>
      <c r="G284" s="7">
        <f>VLOOKUP(A284,Лист2!$A$1:$E$505, 5, 0)</f>
        <v>4583</v>
      </c>
      <c r="H284" s="14">
        <f t="shared" si="20"/>
        <v>709.41666666666663</v>
      </c>
      <c r="I284">
        <f t="shared" si="21"/>
        <v>20</v>
      </c>
      <c r="K284" s="18">
        <f t="shared" si="22"/>
        <v>27960</v>
      </c>
      <c r="L284">
        <f t="shared" si="23"/>
        <v>37</v>
      </c>
      <c r="N284" s="19">
        <f t="shared" si="24"/>
        <v>1.2964210363787289E-3</v>
      </c>
    </row>
    <row r="285" spans="1:14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>
        <f>VLOOKUP(A285,Лист2!$A$1:$E$505, 3, 0)</f>
        <v>37</v>
      </c>
      <c r="F285" s="7">
        <f>VLOOKUP(A285,Лист2!$A$1:$E$505, 4, 0)</f>
        <v>5215</v>
      </c>
      <c r="G285" s="7">
        <f>VLOOKUP(A285,Лист2!$A$1:$E$505, 5, 0)</f>
        <v>4848</v>
      </c>
      <c r="H285" s="14">
        <f t="shared" si="20"/>
        <v>400.2162162162162</v>
      </c>
      <c r="I285">
        <f t="shared" si="21"/>
        <v>22</v>
      </c>
      <c r="K285" s="18">
        <f t="shared" si="22"/>
        <v>16476</v>
      </c>
      <c r="L285">
        <f t="shared" si="23"/>
        <v>37</v>
      </c>
      <c r="N285" s="19">
        <f t="shared" si="24"/>
        <v>7.649342016608627E-4</v>
      </c>
    </row>
    <row r="286" spans="1:14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>
        <f>VLOOKUP(A286,Лист2!$A$1:$E$505, 3, 0)</f>
        <v>36</v>
      </c>
      <c r="F286" s="7">
        <f>VLOOKUP(A286,Лист2!$A$1:$E$505, 4, 0)</f>
        <v>4751</v>
      </c>
      <c r="G286" s="7">
        <f>VLOOKUP(A286,Лист2!$A$1:$E$505, 5, 0)</f>
        <v>4370</v>
      </c>
      <c r="H286" s="14">
        <f t="shared" si="20"/>
        <v>592.875</v>
      </c>
      <c r="I286">
        <f t="shared" si="21"/>
        <v>18</v>
      </c>
      <c r="K286" s="18">
        <f t="shared" si="22"/>
        <v>27960</v>
      </c>
      <c r="L286">
        <f t="shared" si="23"/>
        <v>37</v>
      </c>
      <c r="N286" s="19">
        <f t="shared" si="24"/>
        <v>1.2990976498389614E-3</v>
      </c>
    </row>
    <row r="287" spans="1:14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>
        <f>VLOOKUP(A287,Лист2!$A$1:$E$505, 3, 0)</f>
        <v>37</v>
      </c>
      <c r="F287" s="7">
        <f>VLOOKUP(A287,Лист2!$A$1:$E$505, 4, 0)</f>
        <v>6645</v>
      </c>
      <c r="G287" s="7">
        <f>VLOOKUP(A287,Лист2!$A$1:$E$505, 5, 0)</f>
        <v>6122</v>
      </c>
      <c r="H287" s="14">
        <f t="shared" si="20"/>
        <v>485.02702702702703</v>
      </c>
      <c r="I287">
        <f t="shared" si="21"/>
        <v>22</v>
      </c>
      <c r="K287" s="18">
        <f t="shared" si="22"/>
        <v>16476</v>
      </c>
      <c r="L287">
        <f t="shared" si="23"/>
        <v>37</v>
      </c>
      <c r="N287" s="19">
        <f t="shared" si="24"/>
        <v>7.6651555247076006E-4</v>
      </c>
    </row>
    <row r="288" spans="1:14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>
        <f>VLOOKUP(A288,Лист2!$A$1:$E$505, 3, 0)</f>
        <v>36</v>
      </c>
      <c r="F288" s="7">
        <f>VLOOKUP(A288,Лист2!$A$1:$E$505, 4, 0)</f>
        <v>4384</v>
      </c>
      <c r="G288" s="7">
        <f>VLOOKUP(A288,Лист2!$A$1:$E$505, 5, 0)</f>
        <v>4025</v>
      </c>
      <c r="H288" s="14">
        <f t="shared" si="20"/>
        <v>676.04166666666663</v>
      </c>
      <c r="I288">
        <f t="shared" si="21"/>
        <v>19</v>
      </c>
      <c r="K288" s="18">
        <f t="shared" si="22"/>
        <v>27960</v>
      </c>
      <c r="L288">
        <f t="shared" si="23"/>
        <v>37</v>
      </c>
      <c r="N288" s="19">
        <f t="shared" si="24"/>
        <v>1.3017853385308836E-3</v>
      </c>
    </row>
    <row r="289" spans="1:14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>
        <f>VLOOKUP(A289,Лист2!$A$1:$E$505, 3, 0)</f>
        <v>36</v>
      </c>
      <c r="F289" s="7">
        <f>VLOOKUP(A289,Лист2!$A$1:$E$505, 4, 0)</f>
        <v>5651</v>
      </c>
      <c r="G289" s="7">
        <f>VLOOKUP(A289,Лист2!$A$1:$E$505, 5, 0)</f>
        <v>5212</v>
      </c>
      <c r="H289" s="14">
        <f t="shared" si="20"/>
        <v>1027.7083333333333</v>
      </c>
      <c r="I289">
        <f t="shared" si="21"/>
        <v>21</v>
      </c>
      <c r="K289" s="18">
        <f t="shared" si="22"/>
        <v>27960</v>
      </c>
      <c r="L289">
        <f t="shared" si="23"/>
        <v>37</v>
      </c>
      <c r="N289" s="19">
        <f t="shared" si="24"/>
        <v>1.3034821925381659E-3</v>
      </c>
    </row>
    <row r="290" spans="1:14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>
        <f>VLOOKUP(A290,Лист2!$A$1:$E$505, 3, 0)</f>
        <v>37</v>
      </c>
      <c r="F290" s="7">
        <f>VLOOKUP(A290,Лист2!$A$1:$E$505, 4, 0)</f>
        <v>4840</v>
      </c>
      <c r="G290" s="7">
        <f>VLOOKUP(A290,Лист2!$A$1:$E$505, 5, 0)</f>
        <v>4475</v>
      </c>
      <c r="H290" s="14">
        <f t="shared" si="20"/>
        <v>374.7162162162162</v>
      </c>
      <c r="I290">
        <f t="shared" si="21"/>
        <v>22</v>
      </c>
      <c r="K290" s="18">
        <f t="shared" si="22"/>
        <v>16476</v>
      </c>
      <c r="L290">
        <f t="shared" si="23"/>
        <v>37</v>
      </c>
      <c r="N290" s="19">
        <f t="shared" si="24"/>
        <v>7.6910597102534701E-4</v>
      </c>
    </row>
    <row r="291" spans="1:14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>
        <f>VLOOKUP(A291,Лист2!$A$1:$E$505, 3, 0)</f>
        <v>36</v>
      </c>
      <c r="F291" s="7">
        <f>VLOOKUP(A291,Лист2!$A$1:$E$505, 4, 0)</f>
        <v>4641</v>
      </c>
      <c r="G291" s="7">
        <f>VLOOKUP(A291,Лист2!$A$1:$E$505, 5, 0)</f>
        <v>4274</v>
      </c>
      <c r="H291" s="14">
        <f t="shared" si="20"/>
        <v>791.5</v>
      </c>
      <c r="I291">
        <f t="shared" si="21"/>
        <v>22</v>
      </c>
      <c r="K291" s="18">
        <f t="shared" si="22"/>
        <v>27960</v>
      </c>
      <c r="L291">
        <f t="shared" si="23"/>
        <v>37</v>
      </c>
      <c r="N291" s="19">
        <f t="shared" si="24"/>
        <v>1.3061880730032998E-3</v>
      </c>
    </row>
    <row r="292" spans="1:14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>
        <f>VLOOKUP(A292,Лист2!$A$1:$E$505, 3, 0)</f>
        <v>36</v>
      </c>
      <c r="F292" s="7">
        <f>VLOOKUP(A292,Лист2!$A$1:$E$505, 4, 0)</f>
        <v>5143</v>
      </c>
      <c r="G292" s="7">
        <f>VLOOKUP(A292,Лист2!$A$1:$E$505, 5, 0)</f>
        <v>4715</v>
      </c>
      <c r="H292" s="14">
        <f t="shared" si="20"/>
        <v>774.54166666666663</v>
      </c>
      <c r="I292">
        <f t="shared" si="21"/>
        <v>18</v>
      </c>
      <c r="K292" s="18">
        <f t="shared" si="22"/>
        <v>27960</v>
      </c>
      <c r="L292">
        <f t="shared" si="23"/>
        <v>37</v>
      </c>
      <c r="N292" s="19">
        <f t="shared" si="24"/>
        <v>1.3078964317231403E-3</v>
      </c>
    </row>
    <row r="293" spans="1:14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>
        <f>VLOOKUP(A293,Лист2!$A$1:$E$505, 3, 0)</f>
        <v>36</v>
      </c>
      <c r="F293" s="7">
        <f>VLOOKUP(A293,Лист2!$A$1:$E$505, 4, 0)</f>
        <v>5746</v>
      </c>
      <c r="G293" s="7">
        <f>VLOOKUP(A293,Лист2!$A$1:$E$505, 5, 0)</f>
        <v>5277</v>
      </c>
      <c r="H293" s="14">
        <f t="shared" si="20"/>
        <v>867.33333333333337</v>
      </c>
      <c r="I293">
        <f t="shared" si="21"/>
        <v>19</v>
      </c>
      <c r="K293" s="18">
        <f t="shared" si="22"/>
        <v>27960</v>
      </c>
      <c r="L293">
        <f t="shared" si="23"/>
        <v>37</v>
      </c>
      <c r="N293" s="19">
        <f t="shared" si="24"/>
        <v>1.3096092650077954E-3</v>
      </c>
    </row>
    <row r="294" spans="1:14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>
        <f>VLOOKUP(A294,Лист2!$A$1:$E$505, 3, 0)</f>
        <v>36</v>
      </c>
      <c r="F294" s="7">
        <f>VLOOKUP(A294,Лист2!$A$1:$E$505, 4, 0)</f>
        <v>4199</v>
      </c>
      <c r="G294" s="7">
        <f>VLOOKUP(A294,Лист2!$A$1:$E$505, 5, 0)</f>
        <v>3867</v>
      </c>
      <c r="H294" s="14">
        <f t="shared" si="20"/>
        <v>695</v>
      </c>
      <c r="I294">
        <f t="shared" si="21"/>
        <v>19</v>
      </c>
      <c r="K294" s="18">
        <f t="shared" si="22"/>
        <v>27960</v>
      </c>
      <c r="L294">
        <f t="shared" si="23"/>
        <v>37</v>
      </c>
      <c r="N294" s="19">
        <f t="shared" si="24"/>
        <v>1.3113265904601131E-3</v>
      </c>
    </row>
    <row r="295" spans="1:14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>
        <f>VLOOKUP(A295,Лист2!$A$1:$E$505, 3, 0)</f>
        <v>36</v>
      </c>
      <c r="F295" s="7">
        <f>VLOOKUP(A295,Лист2!$A$1:$E$505, 4, 0)</f>
        <v>4826</v>
      </c>
      <c r="G295" s="7">
        <f>VLOOKUP(A295,Лист2!$A$1:$E$505, 5, 0)</f>
        <v>4426</v>
      </c>
      <c r="H295" s="14">
        <f t="shared" si="20"/>
        <v>727.33333333333337</v>
      </c>
      <c r="I295">
        <f t="shared" si="21"/>
        <v>19</v>
      </c>
      <c r="K295" s="18">
        <f t="shared" si="22"/>
        <v>27960</v>
      </c>
      <c r="L295">
        <f t="shared" si="23"/>
        <v>37</v>
      </c>
      <c r="N295" s="19">
        <f t="shared" si="24"/>
        <v>1.3130484257753941E-3</v>
      </c>
    </row>
    <row r="296" spans="1:14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>
        <f>VLOOKUP(A296,Лист2!$A$1:$E$505, 3, 0)</f>
        <v>36</v>
      </c>
      <c r="F296" s="7">
        <f>VLOOKUP(A296,Лист2!$A$1:$E$505, 4, 0)</f>
        <v>4915</v>
      </c>
      <c r="G296" s="7">
        <f>VLOOKUP(A296,Лист2!$A$1:$E$505, 5, 0)</f>
        <v>4562</v>
      </c>
      <c r="H296" s="14">
        <f t="shared" si="20"/>
        <v>828.45833333333337</v>
      </c>
      <c r="I296">
        <f t="shared" si="21"/>
        <v>21</v>
      </c>
      <c r="K296" s="18">
        <f t="shared" si="22"/>
        <v>27960</v>
      </c>
      <c r="L296">
        <f t="shared" si="23"/>
        <v>37</v>
      </c>
      <c r="N296" s="19">
        <f t="shared" si="24"/>
        <v>1.3147747887420011E-3</v>
      </c>
    </row>
    <row r="297" spans="1:14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>
        <f>VLOOKUP(A297,Лист2!$A$1:$E$505, 3, 0)</f>
        <v>36</v>
      </c>
      <c r="F297" s="7">
        <f>VLOOKUP(A297,Лист2!$A$1:$E$505, 4, 0)</f>
        <v>4937</v>
      </c>
      <c r="G297" s="7">
        <f>VLOOKUP(A297,Лист2!$A$1:$E$505, 5, 0)</f>
        <v>4561</v>
      </c>
      <c r="H297" s="14">
        <f t="shared" si="20"/>
        <v>5787.541666666667</v>
      </c>
      <c r="I297">
        <f t="shared" si="21"/>
        <v>18</v>
      </c>
      <c r="K297" s="18">
        <f t="shared" si="22"/>
        <v>188776.5</v>
      </c>
      <c r="L297">
        <f t="shared" si="23"/>
        <v>37</v>
      </c>
      <c r="N297" s="19">
        <f t="shared" si="24"/>
        <v>8.8886029240128304E-3</v>
      </c>
    </row>
    <row r="298" spans="1:14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>
        <f>VLOOKUP(A298,Лист2!$A$1:$E$505, 3, 0)</f>
        <v>36</v>
      </c>
      <c r="F298" s="7">
        <f>VLOOKUP(A298,Лист2!$A$1:$E$505, 4, 0)</f>
        <v>4923</v>
      </c>
      <c r="G298" s="7">
        <f>VLOOKUP(A298,Лист2!$A$1:$E$505, 5, 0)</f>
        <v>4560</v>
      </c>
      <c r="H298" s="14">
        <f t="shared" si="20"/>
        <v>5684.375</v>
      </c>
      <c r="I298">
        <f t="shared" si="21"/>
        <v>18</v>
      </c>
      <c r="K298" s="18">
        <f t="shared" si="22"/>
        <v>188776.5</v>
      </c>
      <c r="L298">
        <f t="shared" si="23"/>
        <v>37</v>
      </c>
      <c r="N298" s="19">
        <f t="shared" si="24"/>
        <v>8.9683187482621132E-3</v>
      </c>
    </row>
    <row r="299" spans="1:14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>
        <f>VLOOKUP(A299,Лист2!$A$1:$E$505, 3, 0)</f>
        <v>37</v>
      </c>
      <c r="F299" s="7">
        <f>VLOOKUP(A299,Лист2!$A$1:$E$505, 4, 0)</f>
        <v>5215</v>
      </c>
      <c r="G299" s="7">
        <f>VLOOKUP(A299,Лист2!$A$1:$E$505, 5, 0)</f>
        <v>4848</v>
      </c>
      <c r="H299" s="14">
        <f t="shared" si="20"/>
        <v>847.90540540540542</v>
      </c>
      <c r="I299">
        <f t="shared" si="21"/>
        <v>22</v>
      </c>
      <c r="K299" s="18">
        <f t="shared" si="22"/>
        <v>27960</v>
      </c>
      <c r="L299">
        <f t="shared" si="23"/>
        <v>37</v>
      </c>
      <c r="N299" s="19">
        <f t="shared" si="24"/>
        <v>1.340333074207066E-3</v>
      </c>
    </row>
    <row r="300" spans="1:14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>
        <f>VLOOKUP(A300,Лист2!$A$1:$E$505, 3, 0)</f>
        <v>37</v>
      </c>
      <c r="F300" s="7">
        <f>VLOOKUP(A300,Лист2!$A$1:$E$505, 4, 0)</f>
        <v>6645</v>
      </c>
      <c r="G300" s="7">
        <f>VLOOKUP(A300,Лист2!$A$1:$E$505, 5, 0)</f>
        <v>6122</v>
      </c>
      <c r="H300" s="14">
        <f t="shared" si="20"/>
        <v>937.33783783783781</v>
      </c>
      <c r="I300">
        <f t="shared" si="21"/>
        <v>22</v>
      </c>
      <c r="K300" s="18">
        <f t="shared" si="22"/>
        <v>27960</v>
      </c>
      <c r="L300">
        <f t="shared" si="23"/>
        <v>37</v>
      </c>
      <c r="N300" s="19">
        <f t="shared" si="24"/>
        <v>1.3421319780872474E-3</v>
      </c>
    </row>
    <row r="301" spans="1:14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>
        <f>VLOOKUP(A301,Лист2!$A$1:$E$505, 3, 0)</f>
        <v>37</v>
      </c>
      <c r="F301" s="7">
        <f>VLOOKUP(A301,Лист2!$A$1:$E$505, 4, 0)</f>
        <v>4840</v>
      </c>
      <c r="G301" s="7">
        <f>VLOOKUP(A301,Лист2!$A$1:$E$505, 5, 0)</f>
        <v>4475</v>
      </c>
      <c r="H301" s="14">
        <f t="shared" si="20"/>
        <v>762.08108108108104</v>
      </c>
      <c r="I301">
        <f t="shared" si="21"/>
        <v>22</v>
      </c>
      <c r="K301" s="18">
        <f t="shared" si="22"/>
        <v>27960</v>
      </c>
      <c r="L301">
        <f t="shared" si="23"/>
        <v>37</v>
      </c>
      <c r="N301" s="19">
        <f t="shared" si="24"/>
        <v>1.3439357171897814E-3</v>
      </c>
    </row>
    <row r="302" spans="1:14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>
        <f>VLOOKUP(A302,Лист2!$A$1:$E$505, 3, 0)</f>
        <v>36</v>
      </c>
      <c r="F302" s="7">
        <f>VLOOKUP(A302,Лист2!$A$1:$E$505, 4, 0)</f>
        <v>5286</v>
      </c>
      <c r="G302" s="7">
        <f>VLOOKUP(A302,Лист2!$A$1:$E$505, 5, 0)</f>
        <v>4867</v>
      </c>
      <c r="H302" s="14">
        <f t="shared" si="20"/>
        <v>6570.875</v>
      </c>
      <c r="I302">
        <f t="shared" si="21"/>
        <v>20</v>
      </c>
      <c r="K302" s="18">
        <f t="shared" si="22"/>
        <v>188776.5</v>
      </c>
      <c r="L302">
        <f t="shared" si="23"/>
        <v>37</v>
      </c>
      <c r="N302" s="19">
        <f t="shared" si="24"/>
        <v>9.0860121935697254E-3</v>
      </c>
    </row>
    <row r="303" spans="1:14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>
        <f>VLOOKUP(A303,Лист2!$A$1:$E$505, 3, 0)</f>
        <v>36</v>
      </c>
      <c r="F303" s="7">
        <f>VLOOKUP(A303,Лист2!$A$1:$E$505, 4, 0)</f>
        <v>5094</v>
      </c>
      <c r="G303" s="7">
        <f>VLOOKUP(A303,Лист2!$A$1:$E$505, 5, 0)</f>
        <v>4716</v>
      </c>
      <c r="H303" s="14">
        <f t="shared" si="20"/>
        <v>6211.041666666667</v>
      </c>
      <c r="I303">
        <f t="shared" si="21"/>
        <v>21</v>
      </c>
      <c r="K303" s="18">
        <f t="shared" si="22"/>
        <v>188776.5</v>
      </c>
      <c r="L303">
        <f t="shared" si="23"/>
        <v>37</v>
      </c>
      <c r="N303" s="19">
        <f t="shared" si="24"/>
        <v>9.1693247904223035E-3</v>
      </c>
    </row>
    <row r="304" spans="1:14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>
        <f>VLOOKUP(A304,Лист2!$A$1:$E$505, 3, 0)</f>
        <v>36</v>
      </c>
      <c r="F304" s="7">
        <f>VLOOKUP(A304,Лист2!$A$1:$E$505, 4, 0)</f>
        <v>4918</v>
      </c>
      <c r="G304" s="7">
        <f>VLOOKUP(A304,Лист2!$A$1:$E$505, 5, 0)</f>
        <v>4554</v>
      </c>
      <c r="H304" s="14">
        <f t="shared" si="20"/>
        <v>5371.208333333333</v>
      </c>
      <c r="I304">
        <f t="shared" si="21"/>
        <v>20</v>
      </c>
      <c r="K304" s="18">
        <f t="shared" si="22"/>
        <v>188776.5</v>
      </c>
      <c r="L304">
        <f t="shared" si="23"/>
        <v>37</v>
      </c>
      <c r="N304" s="19">
        <f t="shared" si="24"/>
        <v>9.2541793667044406E-3</v>
      </c>
    </row>
    <row r="305" spans="1:14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>
        <f>VLOOKUP(A305,Лист2!$A$1:$E$505, 3, 0)</f>
        <v>36</v>
      </c>
      <c r="F305" s="7">
        <f>VLOOKUP(A305,Лист2!$A$1:$E$505, 4, 0)</f>
        <v>5413</v>
      </c>
      <c r="G305" s="7">
        <f>VLOOKUP(A305,Лист2!$A$1:$E$505, 5, 0)</f>
        <v>4959</v>
      </c>
      <c r="H305" s="14">
        <f t="shared" si="20"/>
        <v>5231.083333333333</v>
      </c>
      <c r="I305">
        <f t="shared" si="21"/>
        <v>19</v>
      </c>
      <c r="K305" s="18">
        <f t="shared" si="22"/>
        <v>188776.5</v>
      </c>
      <c r="L305">
        <f t="shared" si="23"/>
        <v>37</v>
      </c>
      <c r="N305" s="19">
        <f t="shared" si="24"/>
        <v>9.3406191315438172E-3</v>
      </c>
    </row>
    <row r="306" spans="1:14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>
        <f>VLOOKUP(A306,Лист2!$A$1:$E$505, 3, 0)</f>
        <v>36</v>
      </c>
      <c r="F306" s="7">
        <f>VLOOKUP(A306,Лист2!$A$1:$E$505, 4, 0)</f>
        <v>4508</v>
      </c>
      <c r="G306" s="7">
        <f>VLOOKUP(A306,Лист2!$A$1:$E$505, 5, 0)</f>
        <v>4149</v>
      </c>
      <c r="H306" s="14">
        <f t="shared" si="20"/>
        <v>6598.458333333333</v>
      </c>
      <c r="I306">
        <f t="shared" si="21"/>
        <v>19</v>
      </c>
      <c r="K306" s="18">
        <f t="shared" si="22"/>
        <v>188776.5</v>
      </c>
      <c r="L306">
        <f t="shared" si="23"/>
        <v>37</v>
      </c>
      <c r="N306" s="19">
        <f t="shared" si="24"/>
        <v>9.4286889236898097E-3</v>
      </c>
    </row>
    <row r="307" spans="1:14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>
        <f>VLOOKUP(A307,Лист2!$A$1:$E$505, 3, 0)</f>
        <v>36</v>
      </c>
      <c r="F307" s="7">
        <f>VLOOKUP(A307,Лист2!$A$1:$E$505, 4, 0)</f>
        <v>4937</v>
      </c>
      <c r="G307" s="7">
        <f>VLOOKUP(A307,Лист2!$A$1:$E$505, 5, 0)</f>
        <v>4561</v>
      </c>
      <c r="H307" s="14">
        <f t="shared" si="20"/>
        <v>5644.708333333333</v>
      </c>
      <c r="I307">
        <f t="shared" si="21"/>
        <v>18</v>
      </c>
      <c r="K307" s="18">
        <f t="shared" si="22"/>
        <v>183228</v>
      </c>
      <c r="L307">
        <f t="shared" si="23"/>
        <v>37</v>
      </c>
      <c r="N307" s="19">
        <f t="shared" si="24"/>
        <v>9.2386703914197569E-3</v>
      </c>
    </row>
    <row r="308" spans="1:14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>
        <f>VLOOKUP(A308,Лист2!$A$1:$E$505, 3, 0)</f>
        <v>36</v>
      </c>
      <c r="F308" s="7">
        <f>VLOOKUP(A308,Лист2!$A$1:$E$505, 4, 0)</f>
        <v>3442</v>
      </c>
      <c r="G308" s="7">
        <f>VLOOKUP(A308,Лист2!$A$1:$E$505, 5, 0)</f>
        <v>3147</v>
      </c>
      <c r="H308" s="14">
        <f t="shared" si="20"/>
        <v>5166.083333333333</v>
      </c>
      <c r="I308">
        <f t="shared" si="21"/>
        <v>18</v>
      </c>
      <c r="K308" s="18">
        <f t="shared" si="22"/>
        <v>188776.5</v>
      </c>
      <c r="L308">
        <f t="shared" si="23"/>
        <v>37</v>
      </c>
      <c r="N308" s="19">
        <f t="shared" si="24"/>
        <v>9.6071929783847886E-3</v>
      </c>
    </row>
    <row r="309" spans="1:14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>
        <f>VLOOKUP(A309,Лист2!$A$1:$E$505, 3, 0)</f>
        <v>36</v>
      </c>
      <c r="F309" s="7">
        <f>VLOOKUP(A309,Лист2!$A$1:$E$505, 4, 0)</f>
        <v>4770</v>
      </c>
      <c r="G309" s="7">
        <f>VLOOKUP(A309,Лист2!$A$1:$E$505, 5, 0)</f>
        <v>4424</v>
      </c>
      <c r="H309" s="14">
        <f t="shared" si="20"/>
        <v>6802.916666666667</v>
      </c>
      <c r="I309">
        <f t="shared" si="21"/>
        <v>22</v>
      </c>
      <c r="K309" s="18">
        <f t="shared" si="22"/>
        <v>188776.5</v>
      </c>
      <c r="L309">
        <f t="shared" si="23"/>
        <v>37</v>
      </c>
      <c r="N309" s="19">
        <f t="shared" si="24"/>
        <v>9.7003864631007089E-3</v>
      </c>
    </row>
    <row r="310" spans="1:14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>
        <f>VLOOKUP(A310,Лист2!$A$1:$E$505, 3, 0)</f>
        <v>36</v>
      </c>
      <c r="F310" s="7">
        <f>VLOOKUP(A310,Лист2!$A$1:$E$505, 4, 0)</f>
        <v>5457</v>
      </c>
      <c r="G310" s="7">
        <f>VLOOKUP(A310,Лист2!$A$1:$E$505, 5, 0)</f>
        <v>4916</v>
      </c>
      <c r="H310" s="14">
        <f t="shared" si="20"/>
        <v>6650.25</v>
      </c>
      <c r="I310">
        <f t="shared" si="21"/>
        <v>18</v>
      </c>
      <c r="K310" s="18">
        <f t="shared" si="22"/>
        <v>188776.5</v>
      </c>
      <c r="L310">
        <f t="shared" si="23"/>
        <v>37</v>
      </c>
      <c r="N310" s="19">
        <f t="shared" si="24"/>
        <v>9.7954056837963877E-3</v>
      </c>
    </row>
    <row r="311" spans="1:14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>
        <f>VLOOKUP(A311,Лист2!$A$1:$E$505, 3, 0)</f>
        <v>36</v>
      </c>
      <c r="F311" s="7">
        <f>VLOOKUP(A311,Лист2!$A$1:$E$505, 4, 0)</f>
        <v>4418</v>
      </c>
      <c r="G311" s="7">
        <f>VLOOKUP(A311,Лист2!$A$1:$E$505, 5, 0)</f>
        <v>4088</v>
      </c>
      <c r="H311" s="14">
        <f t="shared" si="20"/>
        <v>5357.958333333333</v>
      </c>
      <c r="I311">
        <f t="shared" si="21"/>
        <v>20</v>
      </c>
      <c r="K311" s="18">
        <f t="shared" si="22"/>
        <v>188776.5</v>
      </c>
      <c r="L311">
        <f t="shared" si="23"/>
        <v>37</v>
      </c>
      <c r="N311" s="19">
        <f t="shared" si="24"/>
        <v>9.8923048226823365E-3</v>
      </c>
    </row>
    <row r="312" spans="1:14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>
        <f>VLOOKUP(A312,Лист2!$A$1:$E$505, 3, 0)</f>
        <v>36</v>
      </c>
      <c r="F312" s="7">
        <f>VLOOKUP(A312,Лист2!$A$1:$E$505, 4, 0)</f>
        <v>4816</v>
      </c>
      <c r="G312" s="7">
        <f>VLOOKUP(A312,Лист2!$A$1:$E$505, 5, 0)</f>
        <v>4452</v>
      </c>
      <c r="H312" s="14">
        <f t="shared" si="20"/>
        <v>6228.708333333333</v>
      </c>
      <c r="I312">
        <f t="shared" si="21"/>
        <v>21</v>
      </c>
      <c r="K312" s="18">
        <f t="shared" si="22"/>
        <v>188776.5</v>
      </c>
      <c r="L312">
        <f t="shared" si="23"/>
        <v>37</v>
      </c>
      <c r="N312" s="19">
        <f t="shared" si="24"/>
        <v>9.9911402273373216E-3</v>
      </c>
    </row>
    <row r="313" spans="1:14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>
        <f>VLOOKUP(A313,Лист2!$A$1:$E$505, 3, 0)</f>
        <v>36</v>
      </c>
      <c r="F313" s="7">
        <f>VLOOKUP(A313,Лист2!$A$1:$E$505, 4, 0)</f>
        <v>5914</v>
      </c>
      <c r="G313" s="7">
        <f>VLOOKUP(A313,Лист2!$A$1:$E$505, 5, 0)</f>
        <v>5384</v>
      </c>
      <c r="H313" s="14">
        <f t="shared" si="20"/>
        <v>6100.625</v>
      </c>
      <c r="I313">
        <f t="shared" si="21"/>
        <v>21</v>
      </c>
      <c r="K313" s="18">
        <f t="shared" si="22"/>
        <v>188776.5</v>
      </c>
      <c r="L313">
        <f t="shared" si="23"/>
        <v>37</v>
      </c>
      <c r="N313" s="19">
        <f t="shared" si="24"/>
        <v>1.009197051997252E-2</v>
      </c>
    </row>
    <row r="314" spans="1:14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>
        <f>VLOOKUP(A314,Лист2!$A$1:$E$505, 3, 0)</f>
        <v>36</v>
      </c>
      <c r="F314" s="7">
        <f>VLOOKUP(A314,Лист2!$A$1:$E$505, 4, 0)</f>
        <v>4575</v>
      </c>
      <c r="G314" s="7">
        <f>VLOOKUP(A314,Лист2!$A$1:$E$505, 5, 0)</f>
        <v>4206</v>
      </c>
      <c r="H314" s="14">
        <f t="shared" si="20"/>
        <v>5932.833333333333</v>
      </c>
      <c r="I314">
        <f t="shared" si="21"/>
        <v>19</v>
      </c>
      <c r="K314" s="18">
        <f t="shared" si="22"/>
        <v>188776.5</v>
      </c>
      <c r="L314">
        <f t="shared" si="23"/>
        <v>37</v>
      </c>
      <c r="N314" s="19">
        <f t="shared" si="24"/>
        <v>1.0194856713379288E-2</v>
      </c>
    </row>
    <row r="315" spans="1:14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>
        <f>VLOOKUP(A315,Лист2!$A$1:$E$505, 3, 0)</f>
        <v>36</v>
      </c>
      <c r="F315" s="7">
        <f>VLOOKUP(A315,Лист2!$A$1:$E$505, 4, 0)</f>
        <v>4923</v>
      </c>
      <c r="G315" s="7">
        <f>VLOOKUP(A315,Лист2!$A$1:$E$505, 5, 0)</f>
        <v>4560</v>
      </c>
      <c r="H315" s="14">
        <f t="shared" si="20"/>
        <v>5436.25</v>
      </c>
      <c r="I315">
        <f t="shared" si="21"/>
        <v>18</v>
      </c>
      <c r="K315" s="18">
        <f t="shared" si="22"/>
        <v>183228</v>
      </c>
      <c r="L315">
        <f t="shared" si="23"/>
        <v>37</v>
      </c>
      <c r="N315" s="19">
        <f t="shared" si="24"/>
        <v>9.9971298108711502E-3</v>
      </c>
    </row>
    <row r="316" spans="1:14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>
        <f>VLOOKUP(A316,Лист2!$A$1:$E$505, 3, 0)</f>
        <v>36</v>
      </c>
      <c r="F316" s="7">
        <f>VLOOKUP(A316,Лист2!$A$1:$E$505, 4, 0)</f>
        <v>4967</v>
      </c>
      <c r="G316" s="7">
        <f>VLOOKUP(A316,Лист2!$A$1:$E$505, 5, 0)</f>
        <v>4583</v>
      </c>
      <c r="H316" s="14">
        <f t="shared" si="20"/>
        <v>5381.166666666667</v>
      </c>
      <c r="I316">
        <f t="shared" si="21"/>
        <v>20</v>
      </c>
      <c r="K316" s="18">
        <f t="shared" si="22"/>
        <v>188776.5</v>
      </c>
      <c r="L316">
        <f t="shared" si="23"/>
        <v>37</v>
      </c>
      <c r="N316" s="19">
        <f t="shared" si="24"/>
        <v>1.0403871184812535E-2</v>
      </c>
    </row>
    <row r="317" spans="1:14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>
        <f>VLOOKUP(A317,Лист2!$A$1:$E$505, 3, 0)</f>
        <v>36</v>
      </c>
      <c r="F317" s="7">
        <f>VLOOKUP(A317,Лист2!$A$1:$E$505, 4, 0)</f>
        <v>4751</v>
      </c>
      <c r="G317" s="7">
        <f>VLOOKUP(A317,Лист2!$A$1:$E$505, 5, 0)</f>
        <v>4370</v>
      </c>
      <c r="H317" s="14">
        <f t="shared" si="20"/>
        <v>7144.875</v>
      </c>
      <c r="I317">
        <f t="shared" si="21"/>
        <v>18</v>
      </c>
      <c r="K317" s="18">
        <f t="shared" si="22"/>
        <v>188776.5</v>
      </c>
      <c r="L317">
        <f t="shared" si="23"/>
        <v>37</v>
      </c>
      <c r="N317" s="19">
        <f t="shared" si="24"/>
        <v>1.0513249680219309E-2</v>
      </c>
    </row>
    <row r="318" spans="1:14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>
        <f>VLOOKUP(A318,Лист2!$A$1:$E$505, 3, 0)</f>
        <v>36</v>
      </c>
      <c r="F318" s="7">
        <f>VLOOKUP(A318,Лист2!$A$1:$E$505, 4, 0)</f>
        <v>4384</v>
      </c>
      <c r="G318" s="7">
        <f>VLOOKUP(A318,Лист2!$A$1:$E$505, 5, 0)</f>
        <v>4025</v>
      </c>
      <c r="H318" s="14">
        <f t="shared" si="20"/>
        <v>6243.875</v>
      </c>
      <c r="I318">
        <f t="shared" si="21"/>
        <v>19</v>
      </c>
      <c r="K318" s="18">
        <f t="shared" si="22"/>
        <v>188776.5</v>
      </c>
      <c r="L318">
        <f t="shared" si="23"/>
        <v>37</v>
      </c>
      <c r="N318" s="19">
        <f t="shared" si="24"/>
        <v>1.0624952458253387E-2</v>
      </c>
    </row>
    <row r="319" spans="1:14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>
        <f>VLOOKUP(A319,Лист2!$A$1:$E$505, 3, 0)</f>
        <v>36</v>
      </c>
      <c r="F319" s="7">
        <f>VLOOKUP(A319,Лист2!$A$1:$E$505, 4, 0)</f>
        <v>5651</v>
      </c>
      <c r="G319" s="7">
        <f>VLOOKUP(A319,Лист2!$A$1:$E$505, 5, 0)</f>
        <v>5212</v>
      </c>
      <c r="H319" s="14">
        <f t="shared" si="20"/>
        <v>8111.625</v>
      </c>
      <c r="I319">
        <f t="shared" si="21"/>
        <v>21</v>
      </c>
      <c r="K319" s="18">
        <f t="shared" si="22"/>
        <v>188776.5</v>
      </c>
      <c r="L319">
        <f t="shared" si="23"/>
        <v>37</v>
      </c>
      <c r="N319" s="19">
        <f t="shared" si="24"/>
        <v>1.07390544007075E-2</v>
      </c>
    </row>
    <row r="320" spans="1:14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>
        <f>VLOOKUP(A320,Лист2!$A$1:$E$505, 3, 0)</f>
        <v>36</v>
      </c>
      <c r="F320" s="7">
        <f>VLOOKUP(A320,Лист2!$A$1:$E$505, 4, 0)</f>
        <v>4641</v>
      </c>
      <c r="G320" s="7">
        <f>VLOOKUP(A320,Лист2!$A$1:$E$505, 5, 0)</f>
        <v>4274</v>
      </c>
      <c r="H320" s="14">
        <f t="shared" si="20"/>
        <v>5520.875</v>
      </c>
      <c r="I320">
        <f t="shared" si="21"/>
        <v>22</v>
      </c>
      <c r="K320" s="18">
        <f t="shared" si="22"/>
        <v>188776.5</v>
      </c>
      <c r="L320">
        <f t="shared" si="23"/>
        <v>37</v>
      </c>
      <c r="N320" s="19">
        <f t="shared" si="24"/>
        <v>1.0855633640931615E-2</v>
      </c>
    </row>
    <row r="321" spans="1:14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>
        <f>VLOOKUP(A321,Лист2!$A$1:$E$505, 3, 0)</f>
        <v>36</v>
      </c>
      <c r="F321" s="7">
        <f>VLOOKUP(A321,Лист2!$A$1:$E$505, 4, 0)</f>
        <v>5143</v>
      </c>
      <c r="G321" s="7">
        <f>VLOOKUP(A321,Лист2!$A$1:$E$505, 5, 0)</f>
        <v>4715</v>
      </c>
      <c r="H321" s="14">
        <f t="shared" si="20"/>
        <v>5955.166666666667</v>
      </c>
      <c r="I321">
        <f t="shared" si="21"/>
        <v>18</v>
      </c>
      <c r="K321" s="18">
        <f t="shared" si="22"/>
        <v>188776.5</v>
      </c>
      <c r="L321">
        <f t="shared" si="23"/>
        <v>37</v>
      </c>
      <c r="N321" s="19">
        <f t="shared" si="24"/>
        <v>1.0974771742258423E-2</v>
      </c>
    </row>
    <row r="322" spans="1:14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>
        <f>VLOOKUP(A322,Лист2!$A$1:$E$505, 3, 0)</f>
        <v>36</v>
      </c>
      <c r="F322" s="7">
        <f>VLOOKUP(A322,Лист2!$A$1:$E$505, 4, 0)</f>
        <v>5746</v>
      </c>
      <c r="G322" s="7">
        <f>VLOOKUP(A322,Лист2!$A$1:$E$505, 5, 0)</f>
        <v>5277</v>
      </c>
      <c r="H322" s="14">
        <f t="shared" si="20"/>
        <v>6772.916666666667</v>
      </c>
      <c r="I322">
        <f t="shared" si="21"/>
        <v>19</v>
      </c>
      <c r="K322" s="18">
        <f t="shared" si="22"/>
        <v>188776.5</v>
      </c>
      <c r="L322">
        <f t="shared" si="23"/>
        <v>37</v>
      </c>
      <c r="N322" s="19">
        <f t="shared" si="24"/>
        <v>1.1096553888308274E-2</v>
      </c>
    </row>
    <row r="323" spans="1:14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>
        <f>VLOOKUP(A323,Лист2!$A$1:$E$505, 3, 0)</f>
        <v>36</v>
      </c>
      <c r="F323" s="7">
        <f>VLOOKUP(A323,Лист2!$A$1:$E$505, 4, 0)</f>
        <v>4199</v>
      </c>
      <c r="G323" s="7">
        <f>VLOOKUP(A323,Лист2!$A$1:$E$505, 5, 0)</f>
        <v>3867</v>
      </c>
      <c r="H323" s="14">
        <f t="shared" ref="H323:H386" si="25">IF(E323&gt;0, C323 / E323, 0)</f>
        <v>6463.916666666667</v>
      </c>
      <c r="I323">
        <f t="shared" ref="I323:I386" si="26">WEEKNUM(A323,2)</f>
        <v>19</v>
      </c>
      <c r="K323" s="18">
        <f t="shared" ref="K323:K386" si="27">SUMIFS($C:$C,$B:$B,B323,$I:$I,$J$2)</f>
        <v>188776.5</v>
      </c>
      <c r="L323">
        <f t="shared" ref="L323:L386" si="28">SUMIFS($E:$E,$B:$B,B323,$I:$I,$J$2)</f>
        <v>37</v>
      </c>
      <c r="N323" s="19">
        <f t="shared" ref="N323:N386" si="29">K323/ SUM(K323:K826)</f>
        <v>1.1221069086106688E-2</v>
      </c>
    </row>
    <row r="324" spans="1:14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>
        <f>VLOOKUP(A324,Лист2!$A$1:$E$505, 3, 0)</f>
        <v>36</v>
      </c>
      <c r="F324" s="7">
        <f>VLOOKUP(A324,Лист2!$A$1:$E$505, 4, 0)</f>
        <v>4826</v>
      </c>
      <c r="G324" s="7">
        <f>VLOOKUP(A324,Лист2!$A$1:$E$505, 5, 0)</f>
        <v>4426</v>
      </c>
      <c r="H324" s="14">
        <f t="shared" si="25"/>
        <v>6094.75</v>
      </c>
      <c r="I324">
        <f t="shared" si="26"/>
        <v>19</v>
      </c>
      <c r="K324" s="18">
        <f t="shared" si="27"/>
        <v>188776.5</v>
      </c>
      <c r="L324">
        <f t="shared" si="28"/>
        <v>37</v>
      </c>
      <c r="N324" s="19">
        <f t="shared" si="29"/>
        <v>1.1348410383032182E-2</v>
      </c>
    </row>
    <row r="325" spans="1:14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>
        <f>VLOOKUP(A325,Лист2!$A$1:$E$505, 3, 0)</f>
        <v>36</v>
      </c>
      <c r="F325" s="7">
        <f>VLOOKUP(A325,Лист2!$A$1:$E$505, 4, 0)</f>
        <v>4915</v>
      </c>
      <c r="G325" s="7">
        <f>VLOOKUP(A325,Лист2!$A$1:$E$505, 5, 0)</f>
        <v>4562</v>
      </c>
      <c r="H325" s="14">
        <f t="shared" si="25"/>
        <v>5556.375</v>
      </c>
      <c r="I325">
        <f t="shared" si="26"/>
        <v>21</v>
      </c>
      <c r="K325" s="18">
        <f t="shared" si="27"/>
        <v>188776.5</v>
      </c>
      <c r="L325">
        <f t="shared" si="28"/>
        <v>37</v>
      </c>
      <c r="N325" s="19">
        <f t="shared" si="29"/>
        <v>1.1478675098705789E-2</v>
      </c>
    </row>
    <row r="326" spans="1:14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>
        <f>VLOOKUP(A326,Лист2!$A$1:$E$505, 3, 0)</f>
        <v>36</v>
      </c>
      <c r="F326" s="7">
        <f>VLOOKUP(A326,Лист2!$A$1:$E$505, 4, 0)</f>
        <v>5286</v>
      </c>
      <c r="G326" s="7">
        <f>VLOOKUP(A326,Лист2!$A$1:$E$505, 5, 0)</f>
        <v>4867</v>
      </c>
      <c r="H326" s="14">
        <f t="shared" si="25"/>
        <v>6263.333333333333</v>
      </c>
      <c r="I326">
        <f t="shared" si="26"/>
        <v>20</v>
      </c>
      <c r="K326" s="18">
        <f t="shared" si="27"/>
        <v>183228</v>
      </c>
      <c r="L326">
        <f t="shared" si="28"/>
        <v>37</v>
      </c>
      <c r="N326" s="19">
        <f t="shared" si="29"/>
        <v>1.1270667357443155E-2</v>
      </c>
    </row>
    <row r="327" spans="1:14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>
        <f>VLOOKUP(A327,Лист2!$A$1:$E$505, 3, 0)</f>
        <v>36</v>
      </c>
      <c r="F327" s="7">
        <f>VLOOKUP(A327,Лист2!$A$1:$E$505, 4, 0)</f>
        <v>5094</v>
      </c>
      <c r="G327" s="7">
        <f>VLOOKUP(A327,Лист2!$A$1:$E$505, 5, 0)</f>
        <v>4716</v>
      </c>
      <c r="H327" s="14">
        <f t="shared" si="25"/>
        <v>5873.708333333333</v>
      </c>
      <c r="I327">
        <f t="shared" si="26"/>
        <v>21</v>
      </c>
      <c r="K327" s="18">
        <f t="shared" si="27"/>
        <v>183228</v>
      </c>
      <c r="L327">
        <f t="shared" si="28"/>
        <v>37</v>
      </c>
      <c r="N327" s="19">
        <f t="shared" si="29"/>
        <v>1.1399143309848279E-2</v>
      </c>
    </row>
    <row r="328" spans="1:14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>
        <f>VLOOKUP(A328,Лист2!$A$1:$E$505, 3, 0)</f>
        <v>36</v>
      </c>
      <c r="F328" s="7">
        <f>VLOOKUP(A328,Лист2!$A$1:$E$505, 4, 0)</f>
        <v>4918</v>
      </c>
      <c r="G328" s="7">
        <f>VLOOKUP(A328,Лист2!$A$1:$E$505, 5, 0)</f>
        <v>4554</v>
      </c>
      <c r="H328" s="14">
        <f t="shared" si="25"/>
        <v>5133.375</v>
      </c>
      <c r="I328">
        <f t="shared" si="26"/>
        <v>20</v>
      </c>
      <c r="K328" s="18">
        <f t="shared" si="27"/>
        <v>183228</v>
      </c>
      <c r="L328">
        <f t="shared" si="28"/>
        <v>37</v>
      </c>
      <c r="N328" s="19">
        <f t="shared" si="29"/>
        <v>1.1530582067279161E-2</v>
      </c>
    </row>
    <row r="329" spans="1:14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>
        <f>VLOOKUP(A329,Лист2!$A$1:$E$505, 3, 0)</f>
        <v>36</v>
      </c>
      <c r="F329" s="7">
        <f>VLOOKUP(A329,Лист2!$A$1:$E$505, 4, 0)</f>
        <v>5413</v>
      </c>
      <c r="G329" s="7">
        <f>VLOOKUP(A329,Лист2!$A$1:$E$505, 5, 0)</f>
        <v>4959</v>
      </c>
      <c r="H329" s="14">
        <f t="shared" si="25"/>
        <v>4943.791666666667</v>
      </c>
      <c r="I329">
        <f t="shared" si="26"/>
        <v>19</v>
      </c>
      <c r="K329" s="18">
        <f t="shared" si="27"/>
        <v>183228</v>
      </c>
      <c r="L329">
        <f t="shared" si="28"/>
        <v>37</v>
      </c>
      <c r="N329" s="19">
        <f t="shared" si="29"/>
        <v>1.166508731387376E-2</v>
      </c>
    </row>
    <row r="330" spans="1:14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>
        <f>VLOOKUP(A330,Лист2!$A$1:$E$505, 3, 0)</f>
        <v>36</v>
      </c>
      <c r="F330" s="7">
        <f>VLOOKUP(A330,Лист2!$A$1:$E$505, 4, 0)</f>
        <v>4508</v>
      </c>
      <c r="G330" s="7">
        <f>VLOOKUP(A330,Лист2!$A$1:$E$505, 5, 0)</f>
        <v>4149</v>
      </c>
      <c r="H330" s="14">
        <f t="shared" si="25"/>
        <v>6211.583333333333</v>
      </c>
      <c r="I330">
        <f t="shared" si="26"/>
        <v>19</v>
      </c>
      <c r="K330" s="18">
        <f t="shared" si="27"/>
        <v>183228</v>
      </c>
      <c r="L330">
        <f t="shared" si="28"/>
        <v>37</v>
      </c>
      <c r="N330" s="19">
        <f t="shared" si="29"/>
        <v>1.1802767628809181E-2</v>
      </c>
    </row>
    <row r="331" spans="1:14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>
        <f>VLOOKUP(A331,Лист2!$A$1:$E$505, 3, 0)</f>
        <v>36</v>
      </c>
      <c r="F331" s="7">
        <f>VLOOKUP(A331,Лист2!$A$1:$E$505, 4, 0)</f>
        <v>3442</v>
      </c>
      <c r="G331" s="7">
        <f>VLOOKUP(A331,Лист2!$A$1:$E$505, 5, 0)</f>
        <v>3147</v>
      </c>
      <c r="H331" s="14">
        <f t="shared" si="25"/>
        <v>4899.916666666667</v>
      </c>
      <c r="I331">
        <f t="shared" si="26"/>
        <v>18</v>
      </c>
      <c r="K331" s="18">
        <f t="shared" si="27"/>
        <v>183228</v>
      </c>
      <c r="L331">
        <f t="shared" si="28"/>
        <v>37</v>
      </c>
      <c r="N331" s="19">
        <f t="shared" si="29"/>
        <v>1.1943736778626977E-2</v>
      </c>
    </row>
    <row r="332" spans="1:14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>
        <f>VLOOKUP(A332,Лист2!$A$1:$E$505, 3, 0)</f>
        <v>36</v>
      </c>
      <c r="F332" s="7">
        <f>VLOOKUP(A332,Лист2!$A$1:$E$505, 4, 0)</f>
        <v>4770</v>
      </c>
      <c r="G332" s="7">
        <f>VLOOKUP(A332,Лист2!$A$1:$E$505, 5, 0)</f>
        <v>4424</v>
      </c>
      <c r="H332" s="14">
        <f t="shared" si="25"/>
        <v>6454.708333333333</v>
      </c>
      <c r="I332">
        <f t="shared" si="26"/>
        <v>22</v>
      </c>
      <c r="K332" s="18">
        <f t="shared" si="27"/>
        <v>183228</v>
      </c>
      <c r="L332">
        <f t="shared" si="28"/>
        <v>37</v>
      </c>
      <c r="N332" s="19">
        <f t="shared" si="29"/>
        <v>1.2088114030760407E-2</v>
      </c>
    </row>
    <row r="333" spans="1:14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>
        <f>VLOOKUP(A333,Лист2!$A$1:$E$505, 3, 0)</f>
        <v>36</v>
      </c>
      <c r="F333" s="7">
        <f>VLOOKUP(A333,Лист2!$A$1:$E$505, 4, 0)</f>
        <v>5457</v>
      </c>
      <c r="G333" s="7">
        <f>VLOOKUP(A333,Лист2!$A$1:$E$505, 5, 0)</f>
        <v>4916</v>
      </c>
      <c r="H333" s="14">
        <f t="shared" si="25"/>
        <v>6292.791666666667</v>
      </c>
      <c r="I333">
        <f t="shared" si="26"/>
        <v>18</v>
      </c>
      <c r="K333" s="18">
        <f t="shared" si="27"/>
        <v>183228</v>
      </c>
      <c r="L333">
        <f t="shared" si="28"/>
        <v>37</v>
      </c>
      <c r="N333" s="19">
        <f t="shared" si="29"/>
        <v>1.2236024490079666E-2</v>
      </c>
    </row>
    <row r="334" spans="1:14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>
        <f>VLOOKUP(A334,Лист2!$A$1:$E$505, 3, 0)</f>
        <v>36</v>
      </c>
      <c r="F334" s="7">
        <f>VLOOKUP(A334,Лист2!$A$1:$E$505, 4, 0)</f>
        <v>4418</v>
      </c>
      <c r="G334" s="7">
        <f>VLOOKUP(A334,Лист2!$A$1:$E$505, 5, 0)</f>
        <v>4088</v>
      </c>
      <c r="H334" s="14">
        <f t="shared" si="25"/>
        <v>5268.875</v>
      </c>
      <c r="I334">
        <f t="shared" si="26"/>
        <v>20</v>
      </c>
      <c r="K334" s="18">
        <f t="shared" si="27"/>
        <v>183228</v>
      </c>
      <c r="L334">
        <f t="shared" si="28"/>
        <v>37</v>
      </c>
      <c r="N334" s="19">
        <f t="shared" si="29"/>
        <v>1.2387599460451043E-2</v>
      </c>
    </row>
    <row r="335" spans="1:14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>
        <f>VLOOKUP(A335,Лист2!$A$1:$E$505, 3, 0)</f>
        <v>36</v>
      </c>
      <c r="F335" s="7">
        <f>VLOOKUP(A335,Лист2!$A$1:$E$505, 4, 0)</f>
        <v>4816</v>
      </c>
      <c r="G335" s="7">
        <f>VLOOKUP(A335,Лист2!$A$1:$E$505, 5, 0)</f>
        <v>4452</v>
      </c>
      <c r="H335" s="14">
        <f t="shared" si="25"/>
        <v>5934.458333333333</v>
      </c>
      <c r="I335">
        <f t="shared" si="26"/>
        <v>21</v>
      </c>
      <c r="K335" s="18">
        <f t="shared" si="27"/>
        <v>183228</v>
      </c>
      <c r="L335">
        <f t="shared" si="28"/>
        <v>37</v>
      </c>
      <c r="N335" s="19">
        <f t="shared" si="29"/>
        <v>1.2542976833506235E-2</v>
      </c>
    </row>
    <row r="336" spans="1:14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>
        <f>VLOOKUP(A336,Лист2!$A$1:$E$505, 3, 0)</f>
        <v>36</v>
      </c>
      <c r="F336" s="7">
        <f>VLOOKUP(A336,Лист2!$A$1:$E$505, 4, 0)</f>
        <v>5914</v>
      </c>
      <c r="G336" s="7">
        <f>VLOOKUP(A336,Лист2!$A$1:$E$505, 5, 0)</f>
        <v>5384</v>
      </c>
      <c r="H336" s="14">
        <f t="shared" si="25"/>
        <v>5969.041666666667</v>
      </c>
      <c r="I336">
        <f t="shared" si="26"/>
        <v>21</v>
      </c>
      <c r="K336" s="18">
        <f t="shared" si="27"/>
        <v>183228</v>
      </c>
      <c r="L336">
        <f t="shared" si="28"/>
        <v>37</v>
      </c>
      <c r="N336" s="19">
        <f t="shared" si="29"/>
        <v>1.2702301507041264E-2</v>
      </c>
    </row>
    <row r="337" spans="1:14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>
        <f>VLOOKUP(A337,Лист2!$A$1:$E$505, 3, 0)</f>
        <v>36</v>
      </c>
      <c r="F337" s="7">
        <f>VLOOKUP(A337,Лист2!$A$1:$E$505, 4, 0)</f>
        <v>4575</v>
      </c>
      <c r="G337" s="7">
        <f>VLOOKUP(A337,Лист2!$A$1:$E$505, 5, 0)</f>
        <v>4206</v>
      </c>
      <c r="H337" s="14">
        <f t="shared" si="25"/>
        <v>5662</v>
      </c>
      <c r="I337">
        <f t="shared" si="26"/>
        <v>19</v>
      </c>
      <c r="K337" s="18">
        <f t="shared" si="27"/>
        <v>183228</v>
      </c>
      <c r="L337">
        <f t="shared" si="28"/>
        <v>37</v>
      </c>
      <c r="N337" s="19">
        <f t="shared" si="29"/>
        <v>1.2865725835713427E-2</v>
      </c>
    </row>
    <row r="338" spans="1:14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>
        <f>VLOOKUP(A338,Лист2!$A$1:$E$505, 3, 0)</f>
        <v>36</v>
      </c>
      <c r="F338" s="7">
        <f>VLOOKUP(A338,Лист2!$A$1:$E$505, 4, 0)</f>
        <v>4967</v>
      </c>
      <c r="G338" s="7">
        <f>VLOOKUP(A338,Лист2!$A$1:$E$505, 5, 0)</f>
        <v>4583</v>
      </c>
      <c r="H338" s="14">
        <f t="shared" si="25"/>
        <v>5240.625</v>
      </c>
      <c r="I338">
        <f t="shared" si="26"/>
        <v>20</v>
      </c>
      <c r="K338" s="18">
        <f t="shared" si="27"/>
        <v>183228</v>
      </c>
      <c r="L338">
        <f t="shared" si="28"/>
        <v>37</v>
      </c>
      <c r="N338" s="19">
        <f t="shared" si="29"/>
        <v>1.3033410116982943E-2</v>
      </c>
    </row>
    <row r="339" spans="1:14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>
        <f>VLOOKUP(A339,Лист2!$A$1:$E$505, 3, 0)</f>
        <v>37</v>
      </c>
      <c r="F339" s="7">
        <f>VLOOKUP(A339,Лист2!$A$1:$E$505, 4, 0)</f>
        <v>5215</v>
      </c>
      <c r="G339" s="7">
        <f>VLOOKUP(A339,Лист2!$A$1:$E$505, 5, 0)</f>
        <v>4848</v>
      </c>
      <c r="H339" s="14">
        <f t="shared" si="25"/>
        <v>5818.2972972972975</v>
      </c>
      <c r="I339">
        <f t="shared" si="26"/>
        <v>22</v>
      </c>
      <c r="K339" s="18">
        <f t="shared" si="27"/>
        <v>188776.5</v>
      </c>
      <c r="L339">
        <f t="shared" si="28"/>
        <v>37</v>
      </c>
      <c r="N339" s="19">
        <f t="shared" si="29"/>
        <v>1.3605412024494088E-2</v>
      </c>
    </row>
    <row r="340" spans="1:14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>
        <f>VLOOKUP(A340,Лист2!$A$1:$E$505, 3, 0)</f>
        <v>36</v>
      </c>
      <c r="F340" s="7">
        <f>VLOOKUP(A340,Лист2!$A$1:$E$505, 4, 0)</f>
        <v>4751</v>
      </c>
      <c r="G340" s="7">
        <f>VLOOKUP(A340,Лист2!$A$1:$E$505, 5, 0)</f>
        <v>4370</v>
      </c>
      <c r="H340" s="14">
        <f t="shared" si="25"/>
        <v>6893</v>
      </c>
      <c r="I340">
        <f t="shared" si="26"/>
        <v>18</v>
      </c>
      <c r="K340" s="18">
        <f t="shared" si="27"/>
        <v>183228</v>
      </c>
      <c r="L340">
        <f t="shared" si="28"/>
        <v>37</v>
      </c>
      <c r="N340" s="19">
        <f t="shared" si="29"/>
        <v>1.3387667852740915E-2</v>
      </c>
    </row>
    <row r="341" spans="1:14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>
        <f>VLOOKUP(A341,Лист2!$A$1:$E$505, 3, 0)</f>
        <v>37</v>
      </c>
      <c r="F341" s="7">
        <f>VLOOKUP(A341,Лист2!$A$1:$E$505, 4, 0)</f>
        <v>6645</v>
      </c>
      <c r="G341" s="7">
        <f>VLOOKUP(A341,Лист2!$A$1:$E$505, 5, 0)</f>
        <v>6122</v>
      </c>
      <c r="H341" s="14">
        <f t="shared" si="25"/>
        <v>6659.8378378378375</v>
      </c>
      <c r="I341">
        <f t="shared" si="26"/>
        <v>22</v>
      </c>
      <c r="K341" s="18">
        <f t="shared" si="27"/>
        <v>188776.5</v>
      </c>
      <c r="L341">
        <f t="shared" si="28"/>
        <v>37</v>
      </c>
      <c r="N341" s="19">
        <f t="shared" si="29"/>
        <v>1.3980235203785442E-2</v>
      </c>
    </row>
    <row r="342" spans="1:14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>
        <f>VLOOKUP(A342,Лист2!$A$1:$E$505, 3, 0)</f>
        <v>36</v>
      </c>
      <c r="F342" s="7">
        <f>VLOOKUP(A342,Лист2!$A$1:$E$505, 4, 0)</f>
        <v>4384</v>
      </c>
      <c r="G342" s="7">
        <f>VLOOKUP(A342,Лист2!$A$1:$E$505, 5, 0)</f>
        <v>4025</v>
      </c>
      <c r="H342" s="14">
        <f t="shared" si="25"/>
        <v>6013.833333333333</v>
      </c>
      <c r="I342">
        <f t="shared" si="26"/>
        <v>19</v>
      </c>
      <c r="K342" s="18">
        <f t="shared" si="27"/>
        <v>183228</v>
      </c>
      <c r="L342">
        <f t="shared" si="28"/>
        <v>37</v>
      </c>
      <c r="N342" s="19">
        <f t="shared" si="29"/>
        <v>1.3761721634728316E-2</v>
      </c>
    </row>
    <row r="343" spans="1:14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>
        <f>VLOOKUP(A343,Лист2!$A$1:$E$505, 3, 0)</f>
        <v>36</v>
      </c>
      <c r="F343" s="7">
        <f>VLOOKUP(A343,Лист2!$A$1:$E$505, 4, 0)</f>
        <v>5651</v>
      </c>
      <c r="G343" s="7">
        <f>VLOOKUP(A343,Лист2!$A$1:$E$505, 5, 0)</f>
        <v>5212</v>
      </c>
      <c r="H343" s="14">
        <f t="shared" si="25"/>
        <v>7660.916666666667</v>
      </c>
      <c r="I343">
        <f t="shared" si="26"/>
        <v>21</v>
      </c>
      <c r="K343" s="18">
        <f t="shared" si="27"/>
        <v>183228</v>
      </c>
      <c r="L343">
        <f t="shared" si="28"/>
        <v>37</v>
      </c>
      <c r="N343" s="19">
        <f t="shared" si="29"/>
        <v>1.395374924763507E-2</v>
      </c>
    </row>
    <row r="344" spans="1:14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>
        <f>VLOOKUP(A344,Лист2!$A$1:$E$505, 3, 0)</f>
        <v>37</v>
      </c>
      <c r="F344" s="7">
        <f>VLOOKUP(A344,Лист2!$A$1:$E$505, 4, 0)</f>
        <v>4840</v>
      </c>
      <c r="G344" s="7">
        <f>VLOOKUP(A344,Лист2!$A$1:$E$505, 5, 0)</f>
        <v>4475</v>
      </c>
      <c r="H344" s="14">
        <f t="shared" si="25"/>
        <v>5398.7432432432433</v>
      </c>
      <c r="I344">
        <f t="shared" si="26"/>
        <v>22</v>
      </c>
      <c r="K344" s="18">
        <f t="shared" si="27"/>
        <v>188776.5</v>
      </c>
      <c r="L344">
        <f t="shared" si="28"/>
        <v>37</v>
      </c>
      <c r="N344" s="19">
        <f t="shared" si="29"/>
        <v>1.4579737905082664E-2</v>
      </c>
    </row>
    <row r="345" spans="1:14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>
        <f>VLOOKUP(A345,Лист2!$A$1:$E$505, 3, 0)</f>
        <v>36</v>
      </c>
      <c r="F345" s="7">
        <f>VLOOKUP(A345,Лист2!$A$1:$E$505, 4, 0)</f>
        <v>4641</v>
      </c>
      <c r="G345" s="7">
        <f>VLOOKUP(A345,Лист2!$A$1:$E$505, 5, 0)</f>
        <v>4274</v>
      </c>
      <c r="H345" s="14">
        <f t="shared" si="25"/>
        <v>5359.666666666667</v>
      </c>
      <c r="I345">
        <f t="shared" si="26"/>
        <v>22</v>
      </c>
      <c r="K345" s="18">
        <f t="shared" si="27"/>
        <v>183228</v>
      </c>
      <c r="L345">
        <f t="shared" si="28"/>
        <v>37</v>
      </c>
      <c r="N345" s="19">
        <f t="shared" si="29"/>
        <v>1.4360585276849681E-2</v>
      </c>
    </row>
    <row r="346" spans="1:14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>
        <f>VLOOKUP(A346,Лист2!$A$1:$E$505, 3, 0)</f>
        <v>36</v>
      </c>
      <c r="F346" s="7">
        <f>VLOOKUP(A346,Лист2!$A$1:$E$505, 4, 0)</f>
        <v>5143</v>
      </c>
      <c r="G346" s="7">
        <f>VLOOKUP(A346,Лист2!$A$1:$E$505, 5, 0)</f>
        <v>4715</v>
      </c>
      <c r="H346" s="14">
        <f t="shared" si="25"/>
        <v>5723.291666666667</v>
      </c>
      <c r="I346">
        <f t="shared" si="26"/>
        <v>18</v>
      </c>
      <c r="K346" s="18">
        <f t="shared" si="27"/>
        <v>183228</v>
      </c>
      <c r="L346">
        <f t="shared" si="28"/>
        <v>37</v>
      </c>
      <c r="N346" s="19">
        <f t="shared" si="29"/>
        <v>1.4569816367259755E-2</v>
      </c>
    </row>
    <row r="347" spans="1:14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>
        <f>VLOOKUP(A347,Лист2!$A$1:$E$505, 3, 0)</f>
        <v>36</v>
      </c>
      <c r="F347" s="7">
        <f>VLOOKUP(A347,Лист2!$A$1:$E$505, 4, 0)</f>
        <v>5746</v>
      </c>
      <c r="G347" s="7">
        <f>VLOOKUP(A347,Лист2!$A$1:$E$505, 5, 0)</f>
        <v>5277</v>
      </c>
      <c r="H347" s="14">
        <f t="shared" si="25"/>
        <v>6432.208333333333</v>
      </c>
      <c r="I347">
        <f t="shared" si="26"/>
        <v>19</v>
      </c>
      <c r="K347" s="18">
        <f t="shared" si="27"/>
        <v>183228</v>
      </c>
      <c r="L347">
        <f t="shared" si="28"/>
        <v>37</v>
      </c>
      <c r="N347" s="19">
        <f t="shared" si="29"/>
        <v>1.4785234519150651E-2</v>
      </c>
    </row>
    <row r="348" spans="1:14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>
        <f>VLOOKUP(A348,Лист2!$A$1:$E$505, 3, 0)</f>
        <v>36</v>
      </c>
      <c r="F348" s="7">
        <f>VLOOKUP(A348,Лист2!$A$1:$E$505, 4, 0)</f>
        <v>4199</v>
      </c>
      <c r="G348" s="7">
        <f>VLOOKUP(A348,Лист2!$A$1:$E$505, 5, 0)</f>
        <v>3867</v>
      </c>
      <c r="H348" s="14">
        <f t="shared" si="25"/>
        <v>6252.125</v>
      </c>
      <c r="I348">
        <f t="shared" si="26"/>
        <v>19</v>
      </c>
      <c r="K348" s="18">
        <f t="shared" si="27"/>
        <v>183228</v>
      </c>
      <c r="L348">
        <f t="shared" si="28"/>
        <v>37</v>
      </c>
      <c r="N348" s="19">
        <f t="shared" si="29"/>
        <v>1.5007118282412756E-2</v>
      </c>
    </row>
    <row r="349" spans="1:14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>
        <f>VLOOKUP(A349,Лист2!$A$1:$E$505, 3, 0)</f>
        <v>36</v>
      </c>
      <c r="F349" s="7">
        <f>VLOOKUP(A349,Лист2!$A$1:$E$505, 4, 0)</f>
        <v>4826</v>
      </c>
      <c r="G349" s="7">
        <f>VLOOKUP(A349,Лист2!$A$1:$E$505, 5, 0)</f>
        <v>4426</v>
      </c>
      <c r="H349" s="14">
        <f t="shared" si="25"/>
        <v>5817.083333333333</v>
      </c>
      <c r="I349">
        <f t="shared" si="26"/>
        <v>19</v>
      </c>
      <c r="K349" s="18">
        <f t="shared" si="27"/>
        <v>183228</v>
      </c>
      <c r="L349">
        <f t="shared" si="28"/>
        <v>37</v>
      </c>
      <c r="N349" s="19">
        <f t="shared" si="29"/>
        <v>1.523576318261712E-2</v>
      </c>
    </row>
    <row r="350" spans="1:14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>
        <f>VLOOKUP(A350,Лист2!$A$1:$E$505, 3, 0)</f>
        <v>36</v>
      </c>
      <c r="F350" s="7">
        <f>VLOOKUP(A350,Лист2!$A$1:$E$505, 4, 0)</f>
        <v>4915</v>
      </c>
      <c r="G350" s="7">
        <f>VLOOKUP(A350,Лист2!$A$1:$E$505, 5, 0)</f>
        <v>4562</v>
      </c>
      <c r="H350" s="14">
        <f t="shared" si="25"/>
        <v>5381.083333333333</v>
      </c>
      <c r="I350">
        <f t="shared" si="26"/>
        <v>21</v>
      </c>
      <c r="K350" s="18">
        <f t="shared" si="27"/>
        <v>183228</v>
      </c>
      <c r="L350">
        <f t="shared" si="28"/>
        <v>37</v>
      </c>
      <c r="N350" s="19">
        <f t="shared" si="29"/>
        <v>1.5471483034210226E-2</v>
      </c>
    </row>
    <row r="351" spans="1:14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>
        <f>VLOOKUP(A351,Лист2!$A$1:$E$505, 3, 0)</f>
        <v>36</v>
      </c>
      <c r="F351" s="7">
        <f>VLOOKUP(A351,Лист2!$A$1:$E$505, 4, 0)</f>
        <v>4937</v>
      </c>
      <c r="G351" s="7">
        <f>VLOOKUP(A351,Лист2!$A$1:$E$505, 5, 0)</f>
        <v>4561</v>
      </c>
      <c r="H351" s="14">
        <f t="shared" si="25"/>
        <v>340.29166666666669</v>
      </c>
      <c r="I351">
        <f t="shared" si="26"/>
        <v>18</v>
      </c>
      <c r="K351" s="18">
        <f t="shared" si="27"/>
        <v>14238</v>
      </c>
      <c r="L351">
        <f t="shared" si="28"/>
        <v>37</v>
      </c>
      <c r="N351" s="19">
        <f t="shared" si="29"/>
        <v>1.2211268845003338E-3</v>
      </c>
    </row>
    <row r="352" spans="1:14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>
        <f>VLOOKUP(A352,Лист2!$A$1:$E$505, 3, 0)</f>
        <v>36</v>
      </c>
      <c r="F352" s="7">
        <f>VLOOKUP(A352,Лист2!$A$1:$E$505, 4, 0)</f>
        <v>4923</v>
      </c>
      <c r="G352" s="7">
        <f>VLOOKUP(A352,Лист2!$A$1:$E$505, 5, 0)</f>
        <v>4560</v>
      </c>
      <c r="H352" s="14">
        <f t="shared" si="25"/>
        <v>348.375</v>
      </c>
      <c r="I352">
        <f t="shared" si="26"/>
        <v>18</v>
      </c>
      <c r="K352" s="18">
        <f t="shared" si="27"/>
        <v>14238</v>
      </c>
      <c r="L352">
        <f t="shared" si="28"/>
        <v>37</v>
      </c>
      <c r="N352" s="19">
        <f t="shared" si="29"/>
        <v>1.2226198584790464E-3</v>
      </c>
    </row>
    <row r="353" spans="1:14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>
        <f>VLOOKUP(A353,Лист2!$A$1:$E$505, 3, 0)</f>
        <v>37</v>
      </c>
      <c r="F353" s="7">
        <f>VLOOKUP(A353,Лист2!$A$1:$E$505, 4, 0)</f>
        <v>5215</v>
      </c>
      <c r="G353" s="7">
        <f>VLOOKUP(A353,Лист2!$A$1:$E$505, 5, 0)</f>
        <v>4848</v>
      </c>
      <c r="H353" s="14">
        <f t="shared" si="25"/>
        <v>5588.0675675675675</v>
      </c>
      <c r="I353">
        <f t="shared" si="26"/>
        <v>22</v>
      </c>
      <c r="K353" s="18">
        <f t="shared" si="27"/>
        <v>183228</v>
      </c>
      <c r="L353">
        <f t="shared" si="28"/>
        <v>37</v>
      </c>
      <c r="N353" s="19">
        <f t="shared" si="29"/>
        <v>1.5753084407293939E-2</v>
      </c>
    </row>
    <row r="354" spans="1:14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>
        <f>VLOOKUP(A354,Лист2!$A$1:$E$505, 3, 0)</f>
        <v>37</v>
      </c>
      <c r="F354" s="7">
        <f>VLOOKUP(A354,Лист2!$A$1:$E$505, 4, 0)</f>
        <v>6645</v>
      </c>
      <c r="G354" s="7">
        <f>VLOOKUP(A354,Лист2!$A$1:$E$505, 5, 0)</f>
        <v>6122</v>
      </c>
      <c r="H354" s="14">
        <f t="shared" si="25"/>
        <v>6614.4324324324325</v>
      </c>
      <c r="I354">
        <f t="shared" si="26"/>
        <v>22</v>
      </c>
      <c r="K354" s="18">
        <f t="shared" si="27"/>
        <v>183228</v>
      </c>
      <c r="L354">
        <f t="shared" si="28"/>
        <v>37</v>
      </c>
      <c r="N354" s="19">
        <f t="shared" si="29"/>
        <v>1.6005215924712907E-2</v>
      </c>
    </row>
    <row r="355" spans="1:14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>
        <f>VLOOKUP(A355,Лист2!$A$1:$E$505, 3, 0)</f>
        <v>37</v>
      </c>
      <c r="F355" s="7">
        <f>VLOOKUP(A355,Лист2!$A$1:$E$505, 4, 0)</f>
        <v>4840</v>
      </c>
      <c r="G355" s="7">
        <f>VLOOKUP(A355,Лист2!$A$1:$E$505, 5, 0)</f>
        <v>4475</v>
      </c>
      <c r="H355" s="14">
        <f t="shared" si="25"/>
        <v>5179.5</v>
      </c>
      <c r="I355">
        <f t="shared" si="26"/>
        <v>22</v>
      </c>
      <c r="K355" s="18">
        <f t="shared" si="27"/>
        <v>183228</v>
      </c>
      <c r="L355">
        <f t="shared" si="28"/>
        <v>37</v>
      </c>
      <c r="N355" s="19">
        <f t="shared" si="29"/>
        <v>1.6265549557515052E-2</v>
      </c>
    </row>
    <row r="356" spans="1:14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>
        <f>VLOOKUP(A356,Лист2!$A$1:$E$505, 3, 0)</f>
        <v>36</v>
      </c>
      <c r="F356" s="7">
        <f>VLOOKUP(A356,Лист2!$A$1:$E$505, 4, 0)</f>
        <v>5286</v>
      </c>
      <c r="G356" s="7">
        <f>VLOOKUP(A356,Лист2!$A$1:$E$505, 5, 0)</f>
        <v>4867</v>
      </c>
      <c r="H356" s="14">
        <f t="shared" si="25"/>
        <v>454.66666666666669</v>
      </c>
      <c r="I356">
        <f t="shared" si="26"/>
        <v>20</v>
      </c>
      <c r="K356" s="18">
        <f t="shared" si="27"/>
        <v>14238</v>
      </c>
      <c r="L356">
        <f t="shared" si="28"/>
        <v>37</v>
      </c>
      <c r="N356" s="19">
        <f t="shared" si="29"/>
        <v>1.2848369210044577E-3</v>
      </c>
    </row>
    <row r="357" spans="1:14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>
        <f>VLOOKUP(A357,Лист2!$A$1:$E$505, 3, 0)</f>
        <v>36</v>
      </c>
      <c r="F357" s="7">
        <f>VLOOKUP(A357,Лист2!$A$1:$E$505, 4, 0)</f>
        <v>5094</v>
      </c>
      <c r="G357" s="7">
        <f>VLOOKUP(A357,Лист2!$A$1:$E$505, 5, 0)</f>
        <v>4716</v>
      </c>
      <c r="H357" s="14">
        <f t="shared" si="25"/>
        <v>400.75</v>
      </c>
      <c r="I357">
        <f t="shared" si="26"/>
        <v>21</v>
      </c>
      <c r="K357" s="18">
        <f t="shared" si="27"/>
        <v>14238</v>
      </c>
      <c r="L357">
        <f t="shared" si="28"/>
        <v>37</v>
      </c>
      <c r="N357" s="19">
        <f t="shared" si="29"/>
        <v>1.2864898506630871E-3</v>
      </c>
    </row>
    <row r="358" spans="1:14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>
        <f>VLOOKUP(A358,Лист2!$A$1:$E$505, 3, 0)</f>
        <v>36</v>
      </c>
      <c r="F358" s="7">
        <f>VLOOKUP(A358,Лист2!$A$1:$E$505, 4, 0)</f>
        <v>4918</v>
      </c>
      <c r="G358" s="7">
        <f>VLOOKUP(A358,Лист2!$A$1:$E$505, 5, 0)</f>
        <v>4554</v>
      </c>
      <c r="H358" s="14">
        <f t="shared" si="25"/>
        <v>373.33333333333331</v>
      </c>
      <c r="I358">
        <f t="shared" si="26"/>
        <v>20</v>
      </c>
      <c r="K358" s="18">
        <f t="shared" si="27"/>
        <v>14238</v>
      </c>
      <c r="L358">
        <f t="shared" si="28"/>
        <v>37</v>
      </c>
      <c r="N358" s="19">
        <f t="shared" si="29"/>
        <v>1.2881470387546066E-3</v>
      </c>
    </row>
    <row r="359" spans="1:14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>
        <f>VLOOKUP(A359,Лист2!$A$1:$E$505, 3, 0)</f>
        <v>36</v>
      </c>
      <c r="F359" s="7">
        <f>VLOOKUP(A359,Лист2!$A$1:$E$505, 4, 0)</f>
        <v>5413</v>
      </c>
      <c r="G359" s="7">
        <f>VLOOKUP(A359,Лист2!$A$1:$E$505, 5, 0)</f>
        <v>4959</v>
      </c>
      <c r="H359" s="14">
        <f t="shared" si="25"/>
        <v>326.25</v>
      </c>
      <c r="I359">
        <f t="shared" si="26"/>
        <v>19</v>
      </c>
      <c r="K359" s="18">
        <f t="shared" si="27"/>
        <v>14238</v>
      </c>
      <c r="L359">
        <f t="shared" si="28"/>
        <v>37</v>
      </c>
      <c r="N359" s="19">
        <f t="shared" si="29"/>
        <v>1.2898085017567051E-3</v>
      </c>
    </row>
    <row r="360" spans="1:14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>
        <f>VLOOKUP(A360,Лист2!$A$1:$E$505, 3, 0)</f>
        <v>36</v>
      </c>
      <c r="F360" s="7">
        <f>VLOOKUP(A360,Лист2!$A$1:$E$505, 4, 0)</f>
        <v>4508</v>
      </c>
      <c r="G360" s="7">
        <f>VLOOKUP(A360,Лист2!$A$1:$E$505, 5, 0)</f>
        <v>4149</v>
      </c>
      <c r="H360" s="14">
        <f t="shared" si="25"/>
        <v>307.29166666666669</v>
      </c>
      <c r="I360">
        <f t="shared" si="26"/>
        <v>19</v>
      </c>
      <c r="K360" s="18">
        <f t="shared" si="27"/>
        <v>14238</v>
      </c>
      <c r="L360">
        <f t="shared" si="28"/>
        <v>37</v>
      </c>
      <c r="N360" s="19">
        <f t="shared" si="29"/>
        <v>1.2914742562321932E-3</v>
      </c>
    </row>
    <row r="361" spans="1:14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>
        <f>VLOOKUP(A361,Лист2!$A$1:$E$505, 3, 0)</f>
        <v>36</v>
      </c>
      <c r="F361" s="7">
        <f>VLOOKUP(A361,Лист2!$A$1:$E$505, 4, 0)</f>
        <v>3442</v>
      </c>
      <c r="G361" s="7">
        <f>VLOOKUP(A361,Лист2!$A$1:$E$505, 5, 0)</f>
        <v>3147</v>
      </c>
      <c r="H361" s="14">
        <f t="shared" si="25"/>
        <v>278.29166666666669</v>
      </c>
      <c r="I361">
        <f t="shared" si="26"/>
        <v>18</v>
      </c>
      <c r="K361" s="18">
        <f t="shared" si="27"/>
        <v>14238</v>
      </c>
      <c r="L361">
        <f t="shared" si="28"/>
        <v>37</v>
      </c>
      <c r="N361" s="19">
        <f t="shared" si="29"/>
        <v>1.2931443188295545E-3</v>
      </c>
    </row>
    <row r="362" spans="1:14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>
        <f>VLOOKUP(A362,Лист2!$A$1:$E$505, 3, 0)</f>
        <v>36</v>
      </c>
      <c r="F362" s="7">
        <f>VLOOKUP(A362,Лист2!$A$1:$E$505, 4, 0)</f>
        <v>4770</v>
      </c>
      <c r="G362" s="7">
        <f>VLOOKUP(A362,Лист2!$A$1:$E$505, 5, 0)</f>
        <v>4424</v>
      </c>
      <c r="H362" s="14">
        <f t="shared" si="25"/>
        <v>289.91666666666669</v>
      </c>
      <c r="I362">
        <f t="shared" si="26"/>
        <v>22</v>
      </c>
      <c r="K362" s="18">
        <f t="shared" si="27"/>
        <v>9474</v>
      </c>
      <c r="L362">
        <f t="shared" si="28"/>
        <v>37</v>
      </c>
      <c r="N362" s="19">
        <f t="shared" si="29"/>
        <v>8.6157553190966936E-4</v>
      </c>
    </row>
    <row r="363" spans="1:14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>
        <f>VLOOKUP(A363,Лист2!$A$1:$E$505, 3, 0)</f>
        <v>36</v>
      </c>
      <c r="F363" s="7">
        <f>VLOOKUP(A363,Лист2!$A$1:$E$505, 4, 0)</f>
        <v>5457</v>
      </c>
      <c r="G363" s="7">
        <f>VLOOKUP(A363,Лист2!$A$1:$E$505, 5, 0)</f>
        <v>4916</v>
      </c>
      <c r="H363" s="14">
        <f t="shared" si="25"/>
        <v>379</v>
      </c>
      <c r="I363">
        <f t="shared" si="26"/>
        <v>18</v>
      </c>
      <c r="K363" s="18">
        <f t="shared" si="27"/>
        <v>14238</v>
      </c>
      <c r="L363">
        <f t="shared" si="28"/>
        <v>37</v>
      </c>
      <c r="N363" s="19">
        <f t="shared" si="29"/>
        <v>1.295935252387896E-3</v>
      </c>
    </row>
    <row r="364" spans="1:14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>
        <f>VLOOKUP(A364,Лист2!$A$1:$E$505, 3, 0)</f>
        <v>36</v>
      </c>
      <c r="F364" s="7">
        <f>VLOOKUP(A364,Лист2!$A$1:$E$505, 4, 0)</f>
        <v>4418</v>
      </c>
      <c r="G364" s="7">
        <f>VLOOKUP(A364,Лист2!$A$1:$E$505, 5, 0)</f>
        <v>4088</v>
      </c>
      <c r="H364" s="14">
        <f t="shared" si="25"/>
        <v>373.41666666666669</v>
      </c>
      <c r="I364">
        <f t="shared" si="26"/>
        <v>20</v>
      </c>
      <c r="K364" s="18">
        <f t="shared" si="27"/>
        <v>14238</v>
      </c>
      <c r="L364">
        <f t="shared" si="28"/>
        <v>37</v>
      </c>
      <c r="N364" s="19">
        <f t="shared" si="29"/>
        <v>1.2976168798465827E-3</v>
      </c>
    </row>
    <row r="365" spans="1:14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>
        <f>VLOOKUP(A365,Лист2!$A$1:$E$505, 3, 0)</f>
        <v>36</v>
      </c>
      <c r="F365" s="7">
        <f>VLOOKUP(A365,Лист2!$A$1:$E$505, 4, 0)</f>
        <v>4816</v>
      </c>
      <c r="G365" s="7">
        <f>VLOOKUP(A365,Лист2!$A$1:$E$505, 5, 0)</f>
        <v>4452</v>
      </c>
      <c r="H365" s="14">
        <f t="shared" si="25"/>
        <v>393.95833333333331</v>
      </c>
      <c r="I365">
        <f t="shared" si="26"/>
        <v>21</v>
      </c>
      <c r="K365" s="18">
        <f t="shared" si="27"/>
        <v>14238</v>
      </c>
      <c r="L365">
        <f t="shared" si="28"/>
        <v>37</v>
      </c>
      <c r="N365" s="19">
        <f t="shared" si="29"/>
        <v>1.2993028771920603E-3</v>
      </c>
    </row>
    <row r="366" spans="1:14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>
        <f>VLOOKUP(A366,Лист2!$A$1:$E$505, 3, 0)</f>
        <v>36</v>
      </c>
      <c r="F366" s="7">
        <f>VLOOKUP(A366,Лист2!$A$1:$E$505, 4, 0)</f>
        <v>5914</v>
      </c>
      <c r="G366" s="7">
        <f>VLOOKUP(A366,Лист2!$A$1:$E$505, 5, 0)</f>
        <v>5384</v>
      </c>
      <c r="H366" s="14">
        <f t="shared" si="25"/>
        <v>414.66666666666669</v>
      </c>
      <c r="I366">
        <f t="shared" si="26"/>
        <v>21</v>
      </c>
      <c r="K366" s="18">
        <f t="shared" si="27"/>
        <v>14238</v>
      </c>
      <c r="L366">
        <f t="shared" si="28"/>
        <v>37</v>
      </c>
      <c r="N366" s="19">
        <f t="shared" si="29"/>
        <v>1.3009932614799085E-3</v>
      </c>
    </row>
    <row r="367" spans="1:14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>
        <f>VLOOKUP(A367,Лист2!$A$1:$E$505, 3, 0)</f>
        <v>36</v>
      </c>
      <c r="F367" s="7">
        <f>VLOOKUP(A367,Лист2!$A$1:$E$505, 4, 0)</f>
        <v>4575</v>
      </c>
      <c r="G367" s="7">
        <f>VLOOKUP(A367,Лист2!$A$1:$E$505, 5, 0)</f>
        <v>4206</v>
      </c>
      <c r="H367" s="14">
        <f t="shared" si="25"/>
        <v>387.25</v>
      </c>
      <c r="I367">
        <f t="shared" si="26"/>
        <v>19</v>
      </c>
      <c r="K367" s="18">
        <f t="shared" si="27"/>
        <v>14238</v>
      </c>
      <c r="L367">
        <f t="shared" si="28"/>
        <v>37</v>
      </c>
      <c r="N367" s="19">
        <f t="shared" si="29"/>
        <v>1.3026880498545799E-3</v>
      </c>
    </row>
    <row r="368" spans="1:14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>
        <f>VLOOKUP(A368,Лист2!$A$1:$E$505, 3, 0)</f>
        <v>36</v>
      </c>
      <c r="F368" s="7">
        <f>VLOOKUP(A368,Лист2!$A$1:$E$505, 4, 0)</f>
        <v>4967</v>
      </c>
      <c r="G368" s="7">
        <f>VLOOKUP(A368,Лист2!$A$1:$E$505, 5, 0)</f>
        <v>4583</v>
      </c>
      <c r="H368" s="14">
        <f t="shared" si="25"/>
        <v>406.75</v>
      </c>
      <c r="I368">
        <f t="shared" si="26"/>
        <v>20</v>
      </c>
      <c r="K368" s="18">
        <f t="shared" si="27"/>
        <v>14238</v>
      </c>
      <c r="L368">
        <f t="shared" si="28"/>
        <v>37</v>
      </c>
      <c r="N368" s="19">
        <f t="shared" si="29"/>
        <v>1.3043872595499782E-3</v>
      </c>
    </row>
    <row r="369" spans="1:14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>
        <f>VLOOKUP(A369,Лист2!$A$1:$E$505, 3, 0)</f>
        <v>36</v>
      </c>
      <c r="F369" s="7">
        <f>VLOOKUP(A369,Лист2!$A$1:$E$505, 4, 0)</f>
        <v>4751</v>
      </c>
      <c r="G369" s="7">
        <f>VLOOKUP(A369,Лист2!$A$1:$E$505, 5, 0)</f>
        <v>4370</v>
      </c>
      <c r="H369" s="14">
        <f t="shared" si="25"/>
        <v>278.66666666666669</v>
      </c>
      <c r="I369">
        <f t="shared" si="26"/>
        <v>18</v>
      </c>
      <c r="K369" s="18">
        <f t="shared" si="27"/>
        <v>14238</v>
      </c>
      <c r="L369">
        <f t="shared" si="28"/>
        <v>37</v>
      </c>
      <c r="N369" s="19">
        <f t="shared" si="29"/>
        <v>1.3060909078900439E-3</v>
      </c>
    </row>
    <row r="370" spans="1:14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>
        <f>VLOOKUP(A370,Лист2!$A$1:$E$505, 3, 0)</f>
        <v>36</v>
      </c>
      <c r="F370" s="7">
        <f>VLOOKUP(A370,Лист2!$A$1:$E$505, 4, 0)</f>
        <v>4384</v>
      </c>
      <c r="G370" s="7">
        <f>VLOOKUP(A370,Лист2!$A$1:$E$505, 5, 0)</f>
        <v>4025</v>
      </c>
      <c r="H370" s="14">
        <f t="shared" si="25"/>
        <v>346.33333333333331</v>
      </c>
      <c r="I370">
        <f t="shared" si="26"/>
        <v>19</v>
      </c>
      <c r="K370" s="18">
        <f t="shared" si="27"/>
        <v>14238</v>
      </c>
      <c r="L370">
        <f t="shared" si="28"/>
        <v>37</v>
      </c>
      <c r="N370" s="19">
        <f t="shared" si="29"/>
        <v>1.3077990122893426E-3</v>
      </c>
    </row>
    <row r="371" spans="1:14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>
        <f>VLOOKUP(A371,Лист2!$A$1:$E$505, 3, 0)</f>
        <v>36</v>
      </c>
      <c r="F371" s="7">
        <f>VLOOKUP(A371,Лист2!$A$1:$E$505, 4, 0)</f>
        <v>5651</v>
      </c>
      <c r="G371" s="7">
        <f>VLOOKUP(A371,Лист2!$A$1:$E$505, 5, 0)</f>
        <v>5212</v>
      </c>
      <c r="H371" s="14">
        <f t="shared" si="25"/>
        <v>498.41666666666669</v>
      </c>
      <c r="I371">
        <f t="shared" si="26"/>
        <v>21</v>
      </c>
      <c r="K371" s="18">
        <f t="shared" si="27"/>
        <v>14238</v>
      </c>
      <c r="L371">
        <f t="shared" si="28"/>
        <v>37</v>
      </c>
      <c r="N371" s="19">
        <f t="shared" si="29"/>
        <v>1.3095115902536578E-3</v>
      </c>
    </row>
    <row r="372" spans="1:14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>
        <f>VLOOKUP(A372,Лист2!$A$1:$E$505, 3, 0)</f>
        <v>36</v>
      </c>
      <c r="F372" s="7">
        <f>VLOOKUP(A372,Лист2!$A$1:$E$505, 4, 0)</f>
        <v>4641</v>
      </c>
      <c r="G372" s="7">
        <f>VLOOKUP(A372,Лист2!$A$1:$E$505, 5, 0)</f>
        <v>4274</v>
      </c>
      <c r="H372" s="14">
        <f t="shared" si="25"/>
        <v>439.08333333333331</v>
      </c>
      <c r="I372">
        <f t="shared" si="26"/>
        <v>22</v>
      </c>
      <c r="K372" s="18">
        <f t="shared" si="27"/>
        <v>14238</v>
      </c>
      <c r="L372">
        <f t="shared" si="28"/>
        <v>37</v>
      </c>
      <c r="N372" s="19">
        <f t="shared" si="29"/>
        <v>1.3112286593805894E-3</v>
      </c>
    </row>
    <row r="373" spans="1:14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>
        <f>VLOOKUP(A373,Лист2!$A$1:$E$505, 3, 0)</f>
        <v>36</v>
      </c>
      <c r="F373" s="7">
        <f>VLOOKUP(A373,Лист2!$A$1:$E$505, 4, 0)</f>
        <v>5143</v>
      </c>
      <c r="G373" s="7">
        <f>VLOOKUP(A373,Лист2!$A$1:$E$505, 5, 0)</f>
        <v>4715</v>
      </c>
      <c r="H373" s="14">
        <f t="shared" si="25"/>
        <v>332.66666666666669</v>
      </c>
      <c r="I373">
        <f t="shared" si="26"/>
        <v>18</v>
      </c>
      <c r="K373" s="18">
        <f t="shared" si="27"/>
        <v>14238</v>
      </c>
      <c r="L373">
        <f t="shared" si="28"/>
        <v>37</v>
      </c>
      <c r="N373" s="19">
        <f t="shared" si="29"/>
        <v>1.3129502373601567E-3</v>
      </c>
    </row>
    <row r="374" spans="1:14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>
        <f>VLOOKUP(A374,Лист2!$A$1:$E$505, 3, 0)</f>
        <v>36</v>
      </c>
      <c r="F374" s="7">
        <f>VLOOKUP(A374,Лист2!$A$1:$E$505, 4, 0)</f>
        <v>5746</v>
      </c>
      <c r="G374" s="7">
        <f>VLOOKUP(A374,Лист2!$A$1:$E$505, 5, 0)</f>
        <v>5277</v>
      </c>
      <c r="H374" s="14">
        <f t="shared" si="25"/>
        <v>404.625</v>
      </c>
      <c r="I374">
        <f t="shared" si="26"/>
        <v>19</v>
      </c>
      <c r="K374" s="18">
        <f t="shared" si="27"/>
        <v>14238</v>
      </c>
      <c r="L374">
        <f t="shared" si="28"/>
        <v>37</v>
      </c>
      <c r="N374" s="19">
        <f t="shared" si="29"/>
        <v>1.3146763419754051E-3</v>
      </c>
    </row>
    <row r="375" spans="1:14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>
        <f>VLOOKUP(A375,Лист2!$A$1:$E$505, 3, 0)</f>
        <v>36</v>
      </c>
      <c r="F375" s="7">
        <f>VLOOKUP(A375,Лист2!$A$1:$E$505, 4, 0)</f>
        <v>4199</v>
      </c>
      <c r="G375" s="7">
        <f>VLOOKUP(A375,Лист2!$A$1:$E$505, 5, 0)</f>
        <v>3867</v>
      </c>
      <c r="H375" s="14">
        <f t="shared" si="25"/>
        <v>360.45833333333331</v>
      </c>
      <c r="I375">
        <f t="shared" si="26"/>
        <v>19</v>
      </c>
      <c r="K375" s="18">
        <f t="shared" si="27"/>
        <v>14238</v>
      </c>
      <c r="L375">
        <f t="shared" si="28"/>
        <v>37</v>
      </c>
      <c r="N375" s="19">
        <f t="shared" si="29"/>
        <v>1.3164069911030193E-3</v>
      </c>
    </row>
    <row r="376" spans="1:14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>
        <f>VLOOKUP(A376,Лист2!$A$1:$E$505, 3, 0)</f>
        <v>36</v>
      </c>
      <c r="F376" s="7">
        <f>VLOOKUP(A376,Лист2!$A$1:$E$505, 4, 0)</f>
        <v>4826</v>
      </c>
      <c r="G376" s="7">
        <f>VLOOKUP(A376,Лист2!$A$1:$E$505, 5, 0)</f>
        <v>4426</v>
      </c>
      <c r="H376" s="14">
        <f t="shared" si="25"/>
        <v>325.54166666666669</v>
      </c>
      <c r="I376">
        <f t="shared" si="26"/>
        <v>19</v>
      </c>
      <c r="K376" s="18">
        <f t="shared" si="27"/>
        <v>14238</v>
      </c>
      <c r="L376">
        <f t="shared" si="28"/>
        <v>37</v>
      </c>
      <c r="N376" s="19">
        <f t="shared" si="29"/>
        <v>1.3181422027139398E-3</v>
      </c>
    </row>
    <row r="377" spans="1:14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>
        <f>VLOOKUP(A377,Лист2!$A$1:$E$505, 3, 0)</f>
        <v>36</v>
      </c>
      <c r="F377" s="7">
        <f>VLOOKUP(A377,Лист2!$A$1:$E$505, 4, 0)</f>
        <v>4915</v>
      </c>
      <c r="G377" s="7">
        <f>VLOOKUP(A377,Лист2!$A$1:$E$505, 5, 0)</f>
        <v>4562</v>
      </c>
      <c r="H377" s="14">
        <f t="shared" si="25"/>
        <v>477.70833333333331</v>
      </c>
      <c r="I377">
        <f t="shared" si="26"/>
        <v>21</v>
      </c>
      <c r="K377" s="18">
        <f t="shared" si="27"/>
        <v>14238</v>
      </c>
      <c r="L377">
        <f t="shared" si="28"/>
        <v>37</v>
      </c>
      <c r="N377" s="19">
        <f t="shared" si="29"/>
        <v>1.3198819948739855E-3</v>
      </c>
    </row>
    <row r="378" spans="1:14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>
        <f>VLOOKUP(A378,Лист2!$A$1:$E$505, 3, 0)</f>
        <v>36</v>
      </c>
      <c r="F378" s="7">
        <f>VLOOKUP(A378,Лист2!$A$1:$E$505, 4, 0)</f>
        <v>4770</v>
      </c>
      <c r="G378" s="7">
        <f>VLOOKUP(A378,Лист2!$A$1:$E$505, 5, 0)</f>
        <v>4424</v>
      </c>
      <c r="H378" s="14">
        <f t="shared" si="25"/>
        <v>400.54166666666669</v>
      </c>
      <c r="I378">
        <f t="shared" si="26"/>
        <v>22</v>
      </c>
      <c r="K378" s="18">
        <f t="shared" si="27"/>
        <v>14238</v>
      </c>
      <c r="L378">
        <f t="shared" si="28"/>
        <v>37</v>
      </c>
      <c r="N378" s="19">
        <f t="shared" si="29"/>
        <v>1.32162638574448E-3</v>
      </c>
    </row>
    <row r="379" spans="1:14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>
        <f>VLOOKUP(A379,Лист2!$A$1:$E$505, 3, 0)</f>
        <v>37</v>
      </c>
      <c r="F379" s="7">
        <f>VLOOKUP(A379,Лист2!$A$1:$E$505, 4, 0)</f>
        <v>4722</v>
      </c>
      <c r="G379" s="7">
        <f>VLOOKUP(A379,Лист2!$A$1:$E$505, 5, 0)</f>
        <v>4352</v>
      </c>
      <c r="H379" s="14">
        <f t="shared" si="25"/>
        <v>211.25675675675674</v>
      </c>
      <c r="I379">
        <f t="shared" si="26"/>
        <v>23</v>
      </c>
      <c r="K379" s="18">
        <f t="shared" si="27"/>
        <v>7816.5</v>
      </c>
      <c r="L379">
        <f t="shared" si="28"/>
        <v>37</v>
      </c>
      <c r="N379" s="19">
        <f t="shared" si="29"/>
        <v>7.2651803370842917E-4</v>
      </c>
    </row>
    <row r="380" spans="1:14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>
        <f>VLOOKUP(A380,Лист2!$A$1:$E$505, 3, 0)</f>
        <v>37</v>
      </c>
      <c r="F380" s="7">
        <f>VLOOKUP(A380,Лист2!$A$1:$E$505, 4, 0)</f>
        <v>5215</v>
      </c>
      <c r="G380" s="7">
        <f>VLOOKUP(A380,Лист2!$A$1:$E$505, 5, 0)</f>
        <v>4848</v>
      </c>
      <c r="H380" s="14">
        <f t="shared" si="25"/>
        <v>173.22972972972974</v>
      </c>
      <c r="I380">
        <f t="shared" si="26"/>
        <v>22</v>
      </c>
      <c r="K380" s="18">
        <f t="shared" si="27"/>
        <v>5166</v>
      </c>
      <c r="L380">
        <f t="shared" si="28"/>
        <v>37</v>
      </c>
      <c r="N380" s="19">
        <f t="shared" si="29"/>
        <v>4.8051185395118454E-4</v>
      </c>
    </row>
    <row r="381" spans="1:14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>
        <f>VLOOKUP(A381,Лист2!$A$1:$E$505, 3, 0)</f>
        <v>37</v>
      </c>
      <c r="F381" s="7">
        <f>VLOOKUP(A381,Лист2!$A$1:$E$505, 4, 0)</f>
        <v>6645</v>
      </c>
      <c r="G381" s="7">
        <f>VLOOKUP(A381,Лист2!$A$1:$E$505, 5, 0)</f>
        <v>6122</v>
      </c>
      <c r="H381" s="14">
        <f t="shared" si="25"/>
        <v>303.24324324324323</v>
      </c>
      <c r="I381">
        <f t="shared" si="26"/>
        <v>22</v>
      </c>
      <c r="K381" s="18">
        <f t="shared" si="27"/>
        <v>9474</v>
      </c>
      <c r="L381">
        <f t="shared" si="28"/>
        <v>37</v>
      </c>
      <c r="N381" s="19">
        <f t="shared" si="29"/>
        <v>8.8164108078922791E-4</v>
      </c>
    </row>
    <row r="382" spans="1:14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>
        <f>VLOOKUP(A382,Лист2!$A$1:$E$505, 3, 0)</f>
        <v>37</v>
      </c>
      <c r="F382" s="7">
        <f>VLOOKUP(A382,Лист2!$A$1:$E$505, 4, 0)</f>
        <v>5672</v>
      </c>
      <c r="G382" s="7">
        <f>VLOOKUP(A382,Лист2!$A$1:$E$505, 5, 0)</f>
        <v>5198</v>
      </c>
      <c r="H382" s="14">
        <f t="shared" si="25"/>
        <v>225.68918918918919</v>
      </c>
      <c r="I382">
        <f t="shared" si="26"/>
        <v>22</v>
      </c>
      <c r="K382" s="18">
        <f t="shared" si="27"/>
        <v>7816.5</v>
      </c>
      <c r="L382">
        <f t="shared" si="28"/>
        <v>37</v>
      </c>
      <c r="N382" s="19">
        <f t="shared" si="29"/>
        <v>7.2803763609490728E-4</v>
      </c>
    </row>
    <row r="383" spans="1:14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>
        <f>VLOOKUP(A383,Лист2!$A$1:$E$505, 3, 0)</f>
        <v>37</v>
      </c>
      <c r="F383" s="7">
        <f>VLOOKUP(A383,Лист2!$A$1:$E$505, 4, 0)</f>
        <v>4840</v>
      </c>
      <c r="G383" s="7">
        <f>VLOOKUP(A383,Лист2!$A$1:$E$505, 5, 0)</f>
        <v>4475</v>
      </c>
      <c r="H383" s="14">
        <f t="shared" si="25"/>
        <v>227.79729729729729</v>
      </c>
      <c r="I383">
        <f t="shared" si="26"/>
        <v>22</v>
      </c>
      <c r="K383" s="18">
        <f t="shared" si="27"/>
        <v>9474</v>
      </c>
      <c r="L383">
        <f t="shared" si="28"/>
        <v>37</v>
      </c>
      <c r="N383" s="19">
        <f t="shared" si="29"/>
        <v>8.8306196002285113E-4</v>
      </c>
    </row>
    <row r="384" spans="1:14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>
        <f>VLOOKUP(A384,Лист2!$A$1:$E$505, 3, 0)</f>
        <v>36</v>
      </c>
      <c r="F384" s="7">
        <f>VLOOKUP(A384,Лист2!$A$1:$E$505, 4, 0)</f>
        <v>4951</v>
      </c>
      <c r="G384" s="7">
        <f>VLOOKUP(A384,Лист2!$A$1:$E$505, 5, 0)</f>
        <v>4584</v>
      </c>
      <c r="H384" s="14">
        <f t="shared" si="25"/>
        <v>911.58333333333337</v>
      </c>
      <c r="I384">
        <f t="shared" si="26"/>
        <v>22</v>
      </c>
      <c r="K384" s="18">
        <f t="shared" si="27"/>
        <v>31947</v>
      </c>
      <c r="L384">
        <f t="shared" si="28"/>
        <v>37</v>
      </c>
      <c r="N384" s="19">
        <f t="shared" si="29"/>
        <v>2.9803794253344847E-3</v>
      </c>
    </row>
    <row r="385" spans="1:14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>
        <f>VLOOKUP(A385,Лист2!$A$1:$E$505, 3, 0)</f>
        <v>36</v>
      </c>
      <c r="F385" s="7">
        <f>VLOOKUP(A385,Лист2!$A$1:$E$505, 4, 0)</f>
        <v>4857</v>
      </c>
      <c r="G385" s="7">
        <f>VLOOKUP(A385,Лист2!$A$1:$E$505, 5, 0)</f>
        <v>4456</v>
      </c>
      <c r="H385" s="14">
        <f t="shared" si="25"/>
        <v>1000.875</v>
      </c>
      <c r="I385">
        <f t="shared" si="26"/>
        <v>21</v>
      </c>
      <c r="K385" s="18">
        <f t="shared" si="27"/>
        <v>31947</v>
      </c>
      <c r="L385">
        <f t="shared" si="28"/>
        <v>37</v>
      </c>
      <c r="N385" s="19">
        <f t="shared" si="29"/>
        <v>2.9892886396926106E-3</v>
      </c>
    </row>
    <row r="386" spans="1:14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>
        <f>VLOOKUP(A386,Лист2!$A$1:$E$505, 3, 0)</f>
        <v>37</v>
      </c>
      <c r="F386" s="7">
        <f>VLOOKUP(A386,Лист2!$A$1:$E$505, 4, 0)</f>
        <v>5215</v>
      </c>
      <c r="G386" s="7">
        <f>VLOOKUP(A386,Лист2!$A$1:$E$505, 5, 0)</f>
        <v>4848</v>
      </c>
      <c r="H386" s="14">
        <f t="shared" si="25"/>
        <v>138.56756756756758</v>
      </c>
      <c r="I386">
        <f t="shared" si="26"/>
        <v>22</v>
      </c>
      <c r="K386" s="18">
        <f t="shared" si="27"/>
        <v>4408.5</v>
      </c>
      <c r="L386">
        <f t="shared" si="28"/>
        <v>37</v>
      </c>
      <c r="N386" s="19">
        <f t="shared" si="29"/>
        <v>4.1374122014101834E-4</v>
      </c>
    </row>
    <row r="387" spans="1:14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>
        <f>VLOOKUP(A387,Лист2!$A$1:$E$505, 3, 0)</f>
        <v>36</v>
      </c>
      <c r="F387" s="7">
        <f>VLOOKUP(A387,Лист2!$A$1:$E$505, 4, 0)</f>
        <v>4150</v>
      </c>
      <c r="G387" s="7">
        <f>VLOOKUP(A387,Лист2!$A$1:$E$505, 5, 0)</f>
        <v>3838</v>
      </c>
      <c r="H387" s="14">
        <f t="shared" ref="H387:H450" si="30">IF(E387&gt;0, C387 / E387, 0)</f>
        <v>755.20833333333337</v>
      </c>
      <c r="I387">
        <f t="shared" ref="I387:I450" si="31">WEEKNUM(A387,2)</f>
        <v>20</v>
      </c>
      <c r="K387" s="18">
        <f t="shared" ref="K387:K450" si="32">SUMIFS($C:$C,$B:$B,B387,$I:$I,$J$2)</f>
        <v>31947</v>
      </c>
      <c r="L387">
        <f t="shared" ref="L387:L450" si="33">SUMIFS($E:$E,$B:$B,B387,$I:$I,$J$2)</f>
        <v>37</v>
      </c>
      <c r="N387" s="19">
        <f t="shared" ref="N387:N450" si="34">K387/ SUM(K387:K890)</f>
        <v>2.9994922917780139E-3</v>
      </c>
    </row>
    <row r="388" spans="1:14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>
        <f>VLOOKUP(A388,Лист2!$A$1:$E$505, 3, 0)</f>
        <v>37</v>
      </c>
      <c r="F388" s="7">
        <f>VLOOKUP(A388,Лист2!$A$1:$E$505, 4, 0)</f>
        <v>6645</v>
      </c>
      <c r="G388" s="7">
        <f>VLOOKUP(A388,Лист2!$A$1:$E$505, 5, 0)</f>
        <v>6122</v>
      </c>
      <c r="H388" s="14">
        <f t="shared" si="30"/>
        <v>559.1351351351351</v>
      </c>
      <c r="I388">
        <f t="shared" si="31"/>
        <v>22</v>
      </c>
      <c r="K388" s="18">
        <f t="shared" si="32"/>
        <v>14238</v>
      </c>
      <c r="L388">
        <f t="shared" si="33"/>
        <v>37</v>
      </c>
      <c r="N388" s="19">
        <f t="shared" si="34"/>
        <v>1.3408224643418492E-3</v>
      </c>
    </row>
    <row r="389" spans="1:14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>
        <f>VLOOKUP(A389,Лист2!$A$1:$E$505, 3, 0)</f>
        <v>37</v>
      </c>
      <c r="F389" s="7">
        <f>VLOOKUP(A389,Лист2!$A$1:$E$505, 4, 0)</f>
        <v>4840</v>
      </c>
      <c r="G389" s="7">
        <f>VLOOKUP(A389,Лист2!$A$1:$E$505, 5, 0)</f>
        <v>4475</v>
      </c>
      <c r="H389" s="14">
        <f t="shared" si="30"/>
        <v>423.72972972972974</v>
      </c>
      <c r="I389">
        <f t="shared" si="31"/>
        <v>22</v>
      </c>
      <c r="K389" s="18">
        <f t="shared" si="32"/>
        <v>14238</v>
      </c>
      <c r="L389">
        <f t="shared" si="33"/>
        <v>37</v>
      </c>
      <c r="N389" s="19">
        <f t="shared" si="34"/>
        <v>1.3426226829963456E-3</v>
      </c>
    </row>
    <row r="390" spans="1:14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>
        <f>VLOOKUP(A390,Лист2!$A$1:$E$505, 3, 0)</f>
        <v>36</v>
      </c>
      <c r="F390" s="7">
        <f>VLOOKUP(A390,Лист2!$A$1:$E$505, 4, 0)</f>
        <v>4885</v>
      </c>
      <c r="G390" s="7">
        <f>VLOOKUP(A390,Лист2!$A$1:$E$505, 5, 0)</f>
        <v>4502</v>
      </c>
      <c r="H390" s="14">
        <f t="shared" si="30"/>
        <v>870.25</v>
      </c>
      <c r="I390">
        <f t="shared" si="31"/>
        <v>21</v>
      </c>
      <c r="K390" s="18">
        <f t="shared" si="32"/>
        <v>31947</v>
      </c>
      <c r="L390">
        <f t="shared" si="33"/>
        <v>37</v>
      </c>
      <c r="N390" s="19">
        <f t="shared" si="34"/>
        <v>3.0166057788580665E-3</v>
      </c>
    </row>
    <row r="391" spans="1:14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>
        <f>VLOOKUP(A391,Лист2!$A$1:$E$505, 3, 0)</f>
        <v>36</v>
      </c>
      <c r="F391" s="7">
        <f>VLOOKUP(A391,Лист2!$A$1:$E$505, 4, 0)</f>
        <v>4285</v>
      </c>
      <c r="G391" s="7">
        <f>VLOOKUP(A391,Лист2!$A$1:$E$505, 5, 0)</f>
        <v>3950</v>
      </c>
      <c r="H391" s="14">
        <f t="shared" si="30"/>
        <v>823.83333333333337</v>
      </c>
      <c r="I391">
        <f t="shared" si="31"/>
        <v>20</v>
      </c>
      <c r="K391" s="18">
        <f t="shared" si="32"/>
        <v>31947</v>
      </c>
      <c r="L391">
        <f t="shared" si="33"/>
        <v>37</v>
      </c>
      <c r="N391" s="19">
        <f t="shared" si="34"/>
        <v>3.0257332231844072E-3</v>
      </c>
    </row>
    <row r="392" spans="1:14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>
        <f>VLOOKUP(A392,Лист2!$A$1:$E$505, 3, 0)</f>
        <v>36</v>
      </c>
      <c r="F392" s="7">
        <f>VLOOKUP(A392,Лист2!$A$1:$E$505, 4, 0)</f>
        <v>4862</v>
      </c>
      <c r="G392" s="7">
        <f>VLOOKUP(A392,Лист2!$A$1:$E$505, 5, 0)</f>
        <v>4476</v>
      </c>
      <c r="H392" s="14">
        <f t="shared" si="30"/>
        <v>948.625</v>
      </c>
      <c r="I392">
        <f t="shared" si="31"/>
        <v>20</v>
      </c>
      <c r="K392" s="18">
        <f t="shared" si="32"/>
        <v>31947</v>
      </c>
      <c r="L392">
        <f t="shared" si="33"/>
        <v>37</v>
      </c>
      <c r="N392" s="19">
        <f t="shared" si="34"/>
        <v>3.0349160695656682E-3</v>
      </c>
    </row>
    <row r="393" spans="1:14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>
        <f>VLOOKUP(A393,Лист2!$A$1:$E$505, 3, 0)</f>
        <v>37</v>
      </c>
      <c r="F393" s="7">
        <f>VLOOKUP(A393,Лист2!$A$1:$E$505, 4, 0)</f>
        <v>4722</v>
      </c>
      <c r="G393" s="7">
        <f>VLOOKUP(A393,Лист2!$A$1:$E$505, 5, 0)</f>
        <v>4352</v>
      </c>
      <c r="H393" s="14">
        <f t="shared" si="30"/>
        <v>863.43243243243239</v>
      </c>
      <c r="I393">
        <f t="shared" si="31"/>
        <v>23</v>
      </c>
      <c r="K393" s="18">
        <f t="shared" si="32"/>
        <v>31947</v>
      </c>
      <c r="L393">
        <f t="shared" si="33"/>
        <v>37</v>
      </c>
      <c r="N393" s="19">
        <f t="shared" si="34"/>
        <v>3.0441548239591477E-3</v>
      </c>
    </row>
    <row r="394" spans="1:14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>
        <f>VLOOKUP(A394,Лист2!$A$1:$E$505, 3, 0)</f>
        <v>37</v>
      </c>
      <c r="F394" s="7">
        <f>VLOOKUP(A394,Лист2!$A$1:$E$505, 4, 0)</f>
        <v>5215</v>
      </c>
      <c r="G394" s="7">
        <f>VLOOKUP(A394,Лист2!$A$1:$E$505, 5, 0)</f>
        <v>4848</v>
      </c>
      <c r="H394" s="14">
        <f t="shared" si="30"/>
        <v>281.51351351351349</v>
      </c>
      <c r="I394">
        <f t="shared" si="31"/>
        <v>22</v>
      </c>
      <c r="K394" s="18">
        <f t="shared" si="32"/>
        <v>9474</v>
      </c>
      <c r="L394">
        <f t="shared" si="33"/>
        <v>37</v>
      </c>
      <c r="N394" s="19">
        <f t="shared" si="34"/>
        <v>9.0551179409040293E-4</v>
      </c>
    </row>
    <row r="395" spans="1:14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>
        <f>VLOOKUP(A395,Лист2!$A$1:$E$505, 3, 0)</f>
        <v>37</v>
      </c>
      <c r="F395" s="7">
        <f>VLOOKUP(A395,Лист2!$A$1:$E$505, 4, 0)</f>
        <v>5672</v>
      </c>
      <c r="G395" s="7">
        <f>VLOOKUP(A395,Лист2!$A$1:$E$505, 5, 0)</f>
        <v>5198</v>
      </c>
      <c r="H395" s="14">
        <f t="shared" si="30"/>
        <v>957.60810810810813</v>
      </c>
      <c r="I395">
        <f t="shared" si="31"/>
        <v>22</v>
      </c>
      <c r="K395" s="18">
        <f t="shared" si="32"/>
        <v>31947</v>
      </c>
      <c r="L395">
        <f t="shared" si="33"/>
        <v>37</v>
      </c>
      <c r="N395" s="19">
        <f t="shared" si="34"/>
        <v>3.0562174394385216E-3</v>
      </c>
    </row>
    <row r="396" spans="1:14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>
        <f>VLOOKUP(A396,Лист2!$A$1:$E$505, 3, 0)</f>
        <v>36</v>
      </c>
      <c r="F396" s="7">
        <f>VLOOKUP(A396,Лист2!$A$1:$E$505, 4, 0)</f>
        <v>4951</v>
      </c>
      <c r="G396" s="7">
        <f>VLOOKUP(A396,Лист2!$A$1:$E$505, 5, 0)</f>
        <v>4584</v>
      </c>
      <c r="H396" s="14">
        <f t="shared" si="30"/>
        <v>2181.7916666666665</v>
      </c>
      <c r="I396">
        <f t="shared" si="31"/>
        <v>22</v>
      </c>
      <c r="K396" s="18">
        <f t="shared" si="32"/>
        <v>77269.5</v>
      </c>
      <c r="L396">
        <f t="shared" si="33"/>
        <v>37</v>
      </c>
      <c r="N396" s="19">
        <f t="shared" si="34"/>
        <v>7.4146661356322687E-3</v>
      </c>
    </row>
    <row r="397" spans="1:14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>
        <f>VLOOKUP(A397,Лист2!$A$1:$E$505, 3, 0)</f>
        <v>36</v>
      </c>
      <c r="F397" s="7">
        <f>VLOOKUP(A397,Лист2!$A$1:$E$505, 4, 0)</f>
        <v>4857</v>
      </c>
      <c r="G397" s="7">
        <f>VLOOKUP(A397,Лист2!$A$1:$E$505, 5, 0)</f>
        <v>4456</v>
      </c>
      <c r="H397" s="14">
        <f t="shared" si="30"/>
        <v>2721.2083333333335</v>
      </c>
      <c r="I397">
        <f t="shared" si="31"/>
        <v>21</v>
      </c>
      <c r="K397" s="18">
        <f t="shared" si="32"/>
        <v>77269.5</v>
      </c>
      <c r="L397">
        <f t="shared" si="33"/>
        <v>37</v>
      </c>
      <c r="N397" s="19">
        <f t="shared" si="34"/>
        <v>7.4700540927450871E-3</v>
      </c>
    </row>
    <row r="398" spans="1:14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>
        <f>VLOOKUP(A398,Лист2!$A$1:$E$505, 3, 0)</f>
        <v>37</v>
      </c>
      <c r="F398" s="7">
        <f>VLOOKUP(A398,Лист2!$A$1:$E$505, 4, 0)</f>
        <v>4722</v>
      </c>
      <c r="G398" s="7">
        <f>VLOOKUP(A398,Лист2!$A$1:$E$505, 5, 0)</f>
        <v>4352</v>
      </c>
      <c r="H398" s="14">
        <f t="shared" si="30"/>
        <v>2088.364864864865</v>
      </c>
      <c r="I398">
        <f t="shared" si="31"/>
        <v>23</v>
      </c>
      <c r="K398" s="18">
        <f t="shared" si="32"/>
        <v>77269.5</v>
      </c>
      <c r="L398">
        <f t="shared" si="33"/>
        <v>37</v>
      </c>
      <c r="N398" s="19">
        <f t="shared" si="34"/>
        <v>7.5262757799381425E-3</v>
      </c>
    </row>
    <row r="399" spans="1:14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>
        <f>VLOOKUP(A399,Лист2!$A$1:$E$505, 3, 0)</f>
        <v>37</v>
      </c>
      <c r="F399" s="7">
        <f>VLOOKUP(A399,Лист2!$A$1:$E$505, 4, 0)</f>
        <v>5215</v>
      </c>
      <c r="G399" s="7">
        <f>VLOOKUP(A399,Лист2!$A$1:$E$505, 5, 0)</f>
        <v>4848</v>
      </c>
      <c r="H399" s="14">
        <f t="shared" si="30"/>
        <v>436.29729729729729</v>
      </c>
      <c r="I399">
        <f t="shared" si="31"/>
        <v>22</v>
      </c>
      <c r="K399" s="18">
        <f t="shared" si="32"/>
        <v>14238</v>
      </c>
      <c r="L399">
        <f t="shared" si="33"/>
        <v>37</v>
      </c>
      <c r="N399" s="19">
        <f t="shared" si="34"/>
        <v>1.3973396960477015E-3</v>
      </c>
    </row>
    <row r="400" spans="1:14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>
        <f>VLOOKUP(A400,Лист2!$A$1:$E$505, 3, 0)</f>
        <v>36</v>
      </c>
      <c r="F400" s="7">
        <f>VLOOKUP(A400,Лист2!$A$1:$E$505, 4, 0)</f>
        <v>4150</v>
      </c>
      <c r="G400" s="7">
        <f>VLOOKUP(A400,Лист2!$A$1:$E$505, 5, 0)</f>
        <v>3838</v>
      </c>
      <c r="H400" s="14">
        <f t="shared" si="30"/>
        <v>2006.125</v>
      </c>
      <c r="I400">
        <f t="shared" si="31"/>
        <v>20</v>
      </c>
      <c r="K400" s="18">
        <f t="shared" si="32"/>
        <v>77269.5</v>
      </c>
      <c r="L400">
        <f t="shared" si="33"/>
        <v>37</v>
      </c>
      <c r="N400" s="19">
        <f t="shared" si="34"/>
        <v>7.5939615084789141E-3</v>
      </c>
    </row>
    <row r="401" spans="1:14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>
        <f>VLOOKUP(A401,Лист2!$A$1:$E$505, 3, 0)</f>
        <v>36</v>
      </c>
      <c r="F401" s="7">
        <f>VLOOKUP(A401,Лист2!$A$1:$E$505, 4, 0)</f>
        <v>4885</v>
      </c>
      <c r="G401" s="7">
        <f>VLOOKUP(A401,Лист2!$A$1:$E$505, 5, 0)</f>
        <v>4502</v>
      </c>
      <c r="H401" s="14">
        <f t="shared" si="30"/>
        <v>2168.2916666666665</v>
      </c>
      <c r="I401">
        <f t="shared" si="31"/>
        <v>21</v>
      </c>
      <c r="K401" s="18">
        <f t="shared" si="32"/>
        <v>77269.5</v>
      </c>
      <c r="L401">
        <f t="shared" si="33"/>
        <v>37</v>
      </c>
      <c r="N401" s="19">
        <f t="shared" si="34"/>
        <v>7.6520710414276615E-3</v>
      </c>
    </row>
    <row r="402" spans="1:14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>
        <f>VLOOKUP(A402,Лист2!$A$1:$E$505, 3, 0)</f>
        <v>36</v>
      </c>
      <c r="F402" s="7">
        <f>VLOOKUP(A402,Лист2!$A$1:$E$505, 4, 0)</f>
        <v>4285</v>
      </c>
      <c r="G402" s="7">
        <f>VLOOKUP(A402,Лист2!$A$1:$E$505, 5, 0)</f>
        <v>3950</v>
      </c>
      <c r="H402" s="14">
        <f t="shared" si="30"/>
        <v>1958.2916666666667</v>
      </c>
      <c r="I402">
        <f t="shared" si="31"/>
        <v>20</v>
      </c>
      <c r="K402" s="18">
        <f t="shared" si="32"/>
        <v>77269.5</v>
      </c>
      <c r="L402">
        <f t="shared" si="33"/>
        <v>37</v>
      </c>
      <c r="N402" s="19">
        <f t="shared" si="34"/>
        <v>7.7110767485131853E-3</v>
      </c>
    </row>
    <row r="403" spans="1:14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>
        <f>VLOOKUP(A403,Лист2!$A$1:$E$505, 3, 0)</f>
        <v>36</v>
      </c>
      <c r="F403" s="7">
        <f>VLOOKUP(A403,Лист2!$A$1:$E$505, 4, 0)</f>
        <v>4862</v>
      </c>
      <c r="G403" s="7">
        <f>VLOOKUP(A403,Лист2!$A$1:$E$505, 5, 0)</f>
        <v>4476</v>
      </c>
      <c r="H403" s="14">
        <f t="shared" si="30"/>
        <v>2193.375</v>
      </c>
      <c r="I403">
        <f t="shared" si="31"/>
        <v>20</v>
      </c>
      <c r="K403" s="18">
        <f t="shared" si="32"/>
        <v>77269.5</v>
      </c>
      <c r="L403">
        <f t="shared" si="33"/>
        <v>37</v>
      </c>
      <c r="N403" s="19">
        <f t="shared" si="34"/>
        <v>7.770999522241852E-3</v>
      </c>
    </row>
    <row r="404" spans="1:14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>
        <f>VLOOKUP(A404,Лист2!$A$1:$E$505, 3, 0)</f>
        <v>36</v>
      </c>
      <c r="F404" s="7">
        <f>VLOOKUP(A404,Лист2!$A$1:$E$505, 4, 0)</f>
        <v>4951</v>
      </c>
      <c r="G404" s="7">
        <f>VLOOKUP(A404,Лист2!$A$1:$E$505, 5, 0)</f>
        <v>4584</v>
      </c>
      <c r="H404" s="14">
        <f t="shared" si="30"/>
        <v>346.95833333333331</v>
      </c>
      <c r="I404">
        <f t="shared" si="31"/>
        <v>22</v>
      </c>
      <c r="K404" s="18">
        <f t="shared" si="32"/>
        <v>11416.5</v>
      </c>
      <c r="L404">
        <f t="shared" si="33"/>
        <v>37</v>
      </c>
      <c r="N404" s="19">
        <f t="shared" si="34"/>
        <v>1.1571504937236254E-3</v>
      </c>
    </row>
    <row r="405" spans="1:14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>
        <f>VLOOKUP(A405,Лист2!$A$1:$E$505, 3, 0)</f>
        <v>36</v>
      </c>
      <c r="F405" s="7">
        <f>VLOOKUP(A405,Лист2!$A$1:$E$505, 4, 0)</f>
        <v>4857</v>
      </c>
      <c r="G405" s="7">
        <f>VLOOKUP(A405,Лист2!$A$1:$E$505, 5, 0)</f>
        <v>4456</v>
      </c>
      <c r="H405" s="14">
        <f t="shared" si="30"/>
        <v>501</v>
      </c>
      <c r="I405">
        <f t="shared" si="31"/>
        <v>21</v>
      </c>
      <c r="K405" s="18">
        <f t="shared" si="32"/>
        <v>11416.5</v>
      </c>
      <c r="L405">
        <f t="shared" si="33"/>
        <v>37</v>
      </c>
      <c r="N405" s="19">
        <f t="shared" si="34"/>
        <v>1.1584910422050875E-3</v>
      </c>
    </row>
    <row r="406" spans="1:14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>
        <f>VLOOKUP(A406,Лист2!$A$1:$E$505, 3, 0)</f>
        <v>37</v>
      </c>
      <c r="F406" s="7">
        <f>VLOOKUP(A406,Лист2!$A$1:$E$505, 4, 0)</f>
        <v>4722</v>
      </c>
      <c r="G406" s="7">
        <f>VLOOKUP(A406,Лист2!$A$1:$E$505, 5, 0)</f>
        <v>4352</v>
      </c>
      <c r="H406" s="14">
        <f t="shared" si="30"/>
        <v>308.55405405405406</v>
      </c>
      <c r="I406">
        <f t="shared" si="31"/>
        <v>23</v>
      </c>
      <c r="K406" s="18">
        <f t="shared" si="32"/>
        <v>11416.5</v>
      </c>
      <c r="L406">
        <f t="shared" si="33"/>
        <v>37</v>
      </c>
      <c r="N406" s="19">
        <f t="shared" si="34"/>
        <v>1.159834700315842E-3</v>
      </c>
    </row>
    <row r="407" spans="1:14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>
        <f>VLOOKUP(A407,Лист2!$A$1:$E$505, 3, 0)</f>
        <v>36</v>
      </c>
      <c r="F407" s="7">
        <f>VLOOKUP(A407,Лист2!$A$1:$E$505, 4, 0)</f>
        <v>4150</v>
      </c>
      <c r="G407" s="7">
        <f>VLOOKUP(A407,Лист2!$A$1:$E$505, 5, 0)</f>
        <v>3838</v>
      </c>
      <c r="H407" s="14">
        <f t="shared" si="30"/>
        <v>250.20833333333334</v>
      </c>
      <c r="I407">
        <f t="shared" si="31"/>
        <v>20</v>
      </c>
      <c r="K407" s="18">
        <f t="shared" si="32"/>
        <v>11416.5</v>
      </c>
      <c r="L407">
        <f t="shared" si="33"/>
        <v>37</v>
      </c>
      <c r="N407" s="19">
        <f t="shared" si="34"/>
        <v>1.161181478888421E-3</v>
      </c>
    </row>
    <row r="408" spans="1:14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>
        <f>VLOOKUP(A408,Лист2!$A$1:$E$505, 3, 0)</f>
        <v>37</v>
      </c>
      <c r="F408" s="7">
        <f>VLOOKUP(A408,Лист2!$A$1:$E$505, 4, 0)</f>
        <v>5672</v>
      </c>
      <c r="G408" s="7">
        <f>VLOOKUP(A408,Лист2!$A$1:$E$505, 5, 0)</f>
        <v>5198</v>
      </c>
      <c r="H408" s="14">
        <f t="shared" si="30"/>
        <v>2366.2702702702704</v>
      </c>
      <c r="I408">
        <f t="shared" si="31"/>
        <v>22</v>
      </c>
      <c r="K408" s="18">
        <f t="shared" si="32"/>
        <v>77269.5</v>
      </c>
      <c r="L408">
        <f t="shared" si="33"/>
        <v>37</v>
      </c>
      <c r="N408" s="19">
        <f t="shared" si="34"/>
        <v>7.8682800461896581E-3</v>
      </c>
    </row>
    <row r="409" spans="1:14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>
        <f>VLOOKUP(A409,Лист2!$A$1:$E$505, 3, 0)</f>
        <v>36</v>
      </c>
      <c r="F409" s="7">
        <f>VLOOKUP(A409,Лист2!$A$1:$E$505, 4, 0)</f>
        <v>4885</v>
      </c>
      <c r="G409" s="7">
        <f>VLOOKUP(A409,Лист2!$A$1:$E$505, 5, 0)</f>
        <v>4502</v>
      </c>
      <c r="H409" s="14">
        <f t="shared" si="30"/>
        <v>324.45833333333331</v>
      </c>
      <c r="I409">
        <f t="shared" si="31"/>
        <v>21</v>
      </c>
      <c r="K409" s="18">
        <f t="shared" si="32"/>
        <v>11416.5</v>
      </c>
      <c r="L409">
        <f t="shared" si="33"/>
        <v>37</v>
      </c>
      <c r="N409" s="19">
        <f t="shared" si="34"/>
        <v>1.1717510542449457E-3</v>
      </c>
    </row>
    <row r="410" spans="1:14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>
        <f>VLOOKUP(A410,Лист2!$A$1:$E$505, 3, 0)</f>
        <v>36</v>
      </c>
      <c r="F410" s="7">
        <f>VLOOKUP(A410,Лист2!$A$1:$E$505, 4, 0)</f>
        <v>4285</v>
      </c>
      <c r="G410" s="7">
        <f>VLOOKUP(A410,Лист2!$A$1:$E$505, 5, 0)</f>
        <v>3950</v>
      </c>
      <c r="H410" s="14">
        <f t="shared" si="30"/>
        <v>334.375</v>
      </c>
      <c r="I410">
        <f t="shared" si="31"/>
        <v>20</v>
      </c>
      <c r="K410" s="18">
        <f t="shared" si="32"/>
        <v>11416.5</v>
      </c>
      <c r="L410">
        <f t="shared" si="33"/>
        <v>37</v>
      </c>
      <c r="N410" s="19">
        <f t="shared" si="34"/>
        <v>1.173125665480234E-3</v>
      </c>
    </row>
    <row r="411" spans="1:14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>
        <f>VLOOKUP(A411,Лист2!$A$1:$E$505, 3, 0)</f>
        <v>36</v>
      </c>
      <c r="F411" s="7">
        <f>VLOOKUP(A411,Лист2!$A$1:$E$505, 4, 0)</f>
        <v>4862</v>
      </c>
      <c r="G411" s="7">
        <f>VLOOKUP(A411,Лист2!$A$1:$E$505, 5, 0)</f>
        <v>4476</v>
      </c>
      <c r="H411" s="14">
        <f t="shared" si="30"/>
        <v>400.58333333333331</v>
      </c>
      <c r="I411">
        <f t="shared" si="31"/>
        <v>20</v>
      </c>
      <c r="K411" s="18">
        <f t="shared" si="32"/>
        <v>11416.5</v>
      </c>
      <c r="L411">
        <f t="shared" si="33"/>
        <v>37</v>
      </c>
      <c r="N411" s="19">
        <f t="shared" si="34"/>
        <v>1.1745035056869519E-3</v>
      </c>
    </row>
    <row r="412" spans="1:14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>
        <f>VLOOKUP(A412,Лист2!$A$1:$E$505, 3, 0)</f>
        <v>37</v>
      </c>
      <c r="F412" s="7">
        <f>VLOOKUP(A412,Лист2!$A$1:$E$505, 4, 0)</f>
        <v>5672</v>
      </c>
      <c r="G412" s="7">
        <f>VLOOKUP(A412,Лист2!$A$1:$E$505, 5, 0)</f>
        <v>5198</v>
      </c>
      <c r="H412" s="14">
        <f t="shared" si="30"/>
        <v>400.62162162162161</v>
      </c>
      <c r="I412">
        <f t="shared" si="31"/>
        <v>22</v>
      </c>
      <c r="K412" s="18">
        <f t="shared" si="32"/>
        <v>11416.5</v>
      </c>
      <c r="L412">
        <f t="shared" si="33"/>
        <v>37</v>
      </c>
      <c r="N412" s="19">
        <f t="shared" si="34"/>
        <v>1.1758845862557925E-3</v>
      </c>
    </row>
    <row r="413" spans="1:14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>
        <f>VLOOKUP(A413,Лист2!$A$1:$E$505, 3, 0)</f>
        <v>36</v>
      </c>
      <c r="F413" s="7">
        <f>VLOOKUP(A413,Лист2!$A$1:$E$505, 4, 0)</f>
        <v>4951</v>
      </c>
      <c r="G413" s="7">
        <f>VLOOKUP(A413,Лист2!$A$1:$E$505, 5, 0)</f>
        <v>4584</v>
      </c>
      <c r="H413" s="14">
        <f t="shared" si="30"/>
        <v>868.25</v>
      </c>
      <c r="I413">
        <f t="shared" si="31"/>
        <v>22</v>
      </c>
      <c r="K413" s="18">
        <f t="shared" si="32"/>
        <v>32170.5</v>
      </c>
      <c r="L413">
        <f t="shared" si="33"/>
        <v>37</v>
      </c>
      <c r="N413" s="19">
        <f t="shared" si="34"/>
        <v>3.3174203781212667E-3</v>
      </c>
    </row>
    <row r="414" spans="1:14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>
        <f>VLOOKUP(A414,Лист2!$A$1:$E$505, 3, 0)</f>
        <v>36</v>
      </c>
      <c r="F414" s="7">
        <f>VLOOKUP(A414,Лист2!$A$1:$E$505, 4, 0)</f>
        <v>4857</v>
      </c>
      <c r="G414" s="7">
        <f>VLOOKUP(A414,Лист2!$A$1:$E$505, 5, 0)</f>
        <v>4456</v>
      </c>
      <c r="H414" s="14">
        <f t="shared" si="30"/>
        <v>1057.625</v>
      </c>
      <c r="I414">
        <f t="shared" si="31"/>
        <v>21</v>
      </c>
      <c r="K414" s="18">
        <f t="shared" si="32"/>
        <v>32170.5</v>
      </c>
      <c r="L414">
        <f t="shared" si="33"/>
        <v>37</v>
      </c>
      <c r="N414" s="19">
        <f t="shared" si="34"/>
        <v>3.3284622867391033E-3</v>
      </c>
    </row>
    <row r="415" spans="1:14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>
        <f>VLOOKUP(A415,Лист2!$A$1:$E$505, 3, 0)</f>
        <v>37</v>
      </c>
      <c r="F415" s="7">
        <f>VLOOKUP(A415,Лист2!$A$1:$E$505, 4, 0)</f>
        <v>4722</v>
      </c>
      <c r="G415" s="7">
        <f>VLOOKUP(A415,Лист2!$A$1:$E$505, 5, 0)</f>
        <v>4352</v>
      </c>
      <c r="H415" s="14">
        <f t="shared" si="30"/>
        <v>869.47297297297303</v>
      </c>
      <c r="I415">
        <f t="shared" si="31"/>
        <v>23</v>
      </c>
      <c r="K415" s="18">
        <f t="shared" si="32"/>
        <v>32170.5</v>
      </c>
      <c r="L415">
        <f t="shared" si="33"/>
        <v>37</v>
      </c>
      <c r="N415" s="19">
        <f t="shared" si="34"/>
        <v>3.339577945985943E-3</v>
      </c>
    </row>
    <row r="416" spans="1:14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>
        <f>VLOOKUP(A416,Лист2!$A$1:$E$505, 3, 0)</f>
        <v>36</v>
      </c>
      <c r="F416" s="7">
        <f>VLOOKUP(A416,Лист2!$A$1:$E$505, 4, 0)</f>
        <v>4150</v>
      </c>
      <c r="G416" s="7">
        <f>VLOOKUP(A416,Лист2!$A$1:$E$505, 5, 0)</f>
        <v>3838</v>
      </c>
      <c r="H416" s="14">
        <f t="shared" si="30"/>
        <v>1177.7083333333333</v>
      </c>
      <c r="I416">
        <f t="shared" si="31"/>
        <v>20</v>
      </c>
      <c r="K416" s="18">
        <f t="shared" si="32"/>
        <v>32170.5</v>
      </c>
      <c r="L416">
        <f t="shared" si="33"/>
        <v>37</v>
      </c>
      <c r="N416" s="19">
        <f t="shared" si="34"/>
        <v>3.350768097225551E-3</v>
      </c>
    </row>
    <row r="417" spans="1:14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>
        <f>VLOOKUP(A417,Лист2!$A$1:$E$505, 3, 0)</f>
        <v>36</v>
      </c>
      <c r="F417" s="7">
        <f>VLOOKUP(A417,Лист2!$A$1:$E$505, 4, 0)</f>
        <v>4885</v>
      </c>
      <c r="G417" s="7">
        <f>VLOOKUP(A417,Лист2!$A$1:$E$505, 5, 0)</f>
        <v>4502</v>
      </c>
      <c r="H417" s="14">
        <f t="shared" si="30"/>
        <v>796.33333333333337</v>
      </c>
      <c r="I417">
        <f t="shared" si="31"/>
        <v>21</v>
      </c>
      <c r="K417" s="18">
        <f t="shared" si="32"/>
        <v>32170.5</v>
      </c>
      <c r="L417">
        <f t="shared" si="33"/>
        <v>37</v>
      </c>
      <c r="N417" s="19">
        <f t="shared" si="34"/>
        <v>3.3620334917916503E-3</v>
      </c>
    </row>
    <row r="418" spans="1:14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>
        <f>VLOOKUP(A418,Лист2!$A$1:$E$505, 3, 0)</f>
        <v>36</v>
      </c>
      <c r="F418" s="7">
        <f>VLOOKUP(A418,Лист2!$A$1:$E$505, 4, 0)</f>
        <v>4285</v>
      </c>
      <c r="G418" s="7">
        <f>VLOOKUP(A418,Лист2!$A$1:$E$505, 5, 0)</f>
        <v>3950</v>
      </c>
      <c r="H418" s="14">
        <f t="shared" si="30"/>
        <v>761.41666666666663</v>
      </c>
      <c r="I418">
        <f t="shared" si="31"/>
        <v>20</v>
      </c>
      <c r="K418" s="18">
        <f t="shared" si="32"/>
        <v>32170.5</v>
      </c>
      <c r="L418">
        <f t="shared" si="33"/>
        <v>37</v>
      </c>
      <c r="N418" s="19">
        <f t="shared" si="34"/>
        <v>3.3733748911560862E-3</v>
      </c>
    </row>
    <row r="419" spans="1:14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>
        <f>VLOOKUP(A419,Лист2!$A$1:$E$505, 3, 0)</f>
        <v>36</v>
      </c>
      <c r="F419" s="7">
        <f>VLOOKUP(A419,Лист2!$A$1:$E$505, 4, 0)</f>
        <v>4862</v>
      </c>
      <c r="G419" s="7">
        <f>VLOOKUP(A419,Лист2!$A$1:$E$505, 5, 0)</f>
        <v>4476</v>
      </c>
      <c r="H419" s="14">
        <f t="shared" si="30"/>
        <v>912.625</v>
      </c>
      <c r="I419">
        <f t="shared" si="31"/>
        <v>20</v>
      </c>
      <c r="K419" s="18">
        <f t="shared" si="32"/>
        <v>32170.5</v>
      </c>
      <c r="L419">
        <f t="shared" si="33"/>
        <v>37</v>
      </c>
      <c r="N419" s="19">
        <f t="shared" si="34"/>
        <v>3.3847930671004017E-3</v>
      </c>
    </row>
    <row r="420" spans="1:14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>
        <f>VLOOKUP(A420,Лист2!$A$1:$E$505, 3, 0)</f>
        <v>37</v>
      </c>
      <c r="F420" s="7">
        <f>VLOOKUP(A420,Лист2!$A$1:$E$505, 4, 0)</f>
        <v>5672</v>
      </c>
      <c r="G420" s="7">
        <f>VLOOKUP(A420,Лист2!$A$1:$E$505, 5, 0)</f>
        <v>5198</v>
      </c>
      <c r="H420" s="14">
        <f t="shared" si="30"/>
        <v>955.29729729729729</v>
      </c>
      <c r="I420">
        <f t="shared" si="31"/>
        <v>22</v>
      </c>
      <c r="K420" s="18">
        <f t="shared" si="32"/>
        <v>32170.5</v>
      </c>
      <c r="L420">
        <f t="shared" si="33"/>
        <v>37</v>
      </c>
      <c r="N420" s="19">
        <f t="shared" si="34"/>
        <v>3.3962888018909125E-3</v>
      </c>
    </row>
    <row r="421" spans="1:14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>
        <f>VLOOKUP(A421,Лист2!$A$1:$E$505, 3, 0)</f>
        <v>36</v>
      </c>
      <c r="F421" s="7">
        <f>VLOOKUP(A421,Лист2!$A$1:$E$505, 4, 0)</f>
        <v>4951</v>
      </c>
      <c r="G421" s="7">
        <f>VLOOKUP(A421,Лист2!$A$1:$E$505, 5, 0)</f>
        <v>4584</v>
      </c>
      <c r="H421" s="14">
        <f t="shared" si="30"/>
        <v>7959.958333333333</v>
      </c>
      <c r="I421">
        <f t="shared" si="31"/>
        <v>22</v>
      </c>
      <c r="K421" s="18">
        <f t="shared" si="32"/>
        <v>272926.5</v>
      </c>
      <c r="L421">
        <f t="shared" si="33"/>
        <v>37</v>
      </c>
      <c r="N421" s="19">
        <f t="shared" si="34"/>
        <v>2.8911458964783192E-2</v>
      </c>
    </row>
    <row r="422" spans="1:14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>
        <f>VLOOKUP(A422,Лист2!$A$1:$E$505, 3, 0)</f>
        <v>36</v>
      </c>
      <c r="F422" s="7">
        <f>VLOOKUP(A422,Лист2!$A$1:$E$505, 4, 0)</f>
        <v>4857</v>
      </c>
      <c r="G422" s="7">
        <f>VLOOKUP(A422,Лист2!$A$1:$E$505, 5, 0)</f>
        <v>4456</v>
      </c>
      <c r="H422" s="14">
        <f t="shared" si="30"/>
        <v>8447</v>
      </c>
      <c r="I422">
        <f t="shared" si="31"/>
        <v>21</v>
      </c>
      <c r="K422" s="18">
        <f t="shared" si="32"/>
        <v>272926.5</v>
      </c>
      <c r="L422">
        <f t="shared" si="33"/>
        <v>37</v>
      </c>
      <c r="N422" s="19">
        <f t="shared" si="34"/>
        <v>2.9772217200671004E-2</v>
      </c>
    </row>
    <row r="423" spans="1:14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>
        <f>VLOOKUP(A423,Лист2!$A$1:$E$505, 3, 0)</f>
        <v>37</v>
      </c>
      <c r="F423" s="7">
        <f>VLOOKUP(A423,Лист2!$A$1:$E$505, 4, 0)</f>
        <v>4722</v>
      </c>
      <c r="G423" s="7">
        <f>VLOOKUP(A423,Лист2!$A$1:$E$505, 5, 0)</f>
        <v>4352</v>
      </c>
      <c r="H423" s="14">
        <f t="shared" si="30"/>
        <v>7376.3918918918916</v>
      </c>
      <c r="I423">
        <f t="shared" si="31"/>
        <v>23</v>
      </c>
      <c r="K423" s="18">
        <f t="shared" si="32"/>
        <v>272926.5</v>
      </c>
      <c r="L423">
        <f t="shared" si="33"/>
        <v>37</v>
      </c>
      <c r="N423" s="19">
        <f t="shared" si="34"/>
        <v>3.0685801549375703E-2</v>
      </c>
    </row>
    <row r="424" spans="1:14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VLOOKUP(A424,Лист2!$A$1:$E$505, 3, 0)</f>
        <v>36</v>
      </c>
      <c r="F424" s="7">
        <f>VLOOKUP(A424,Лист2!$A$1:$E$505, 4, 0)</f>
        <v>4150</v>
      </c>
      <c r="G424" s="7">
        <f>VLOOKUP(A424,Лист2!$A$1:$E$505, 5, 0)</f>
        <v>3838</v>
      </c>
      <c r="H424" s="14">
        <f t="shared" si="30"/>
        <v>6586.083333333333</v>
      </c>
      <c r="I424">
        <f t="shared" si="31"/>
        <v>20</v>
      </c>
      <c r="K424" s="18">
        <f t="shared" si="32"/>
        <v>272926.5</v>
      </c>
      <c r="L424">
        <f t="shared" si="33"/>
        <v>37</v>
      </c>
      <c r="N424" s="19">
        <f t="shared" si="34"/>
        <v>3.1657228995948521E-2</v>
      </c>
    </row>
    <row r="425" spans="1:14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VLOOKUP(A425,Лист2!$A$1:$E$505, 3, 0)</f>
        <v>36</v>
      </c>
      <c r="F425" s="7">
        <f>VLOOKUP(A425,Лист2!$A$1:$E$505, 4, 0)</f>
        <v>4885</v>
      </c>
      <c r="G425" s="7">
        <f>VLOOKUP(A425,Лист2!$A$1:$E$505, 5, 0)</f>
        <v>4502</v>
      </c>
      <c r="H425" s="14">
        <f t="shared" si="30"/>
        <v>7608.333333333333</v>
      </c>
      <c r="I425">
        <f t="shared" si="31"/>
        <v>21</v>
      </c>
      <c r="K425" s="18">
        <f t="shared" si="32"/>
        <v>272926.5</v>
      </c>
      <c r="L425">
        <f t="shared" si="33"/>
        <v>37</v>
      </c>
      <c r="N425" s="19">
        <f t="shared" si="34"/>
        <v>3.2692172590005397E-2</v>
      </c>
    </row>
    <row r="426" spans="1:14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>
        <f>VLOOKUP(A426,Лист2!$A$1:$E$505, 3, 0)</f>
        <v>36</v>
      </c>
      <c r="F426" s="7">
        <f>VLOOKUP(A426,Лист2!$A$1:$E$505, 4, 0)</f>
        <v>4285</v>
      </c>
      <c r="G426" s="7">
        <f>VLOOKUP(A426,Лист2!$A$1:$E$505, 5, 0)</f>
        <v>3950</v>
      </c>
      <c r="H426" s="14">
        <f t="shared" si="30"/>
        <v>7612.75</v>
      </c>
      <c r="I426">
        <f t="shared" si="31"/>
        <v>20</v>
      </c>
      <c r="K426" s="18">
        <f t="shared" si="32"/>
        <v>272926.5</v>
      </c>
      <c r="L426">
        <f t="shared" si="33"/>
        <v>37</v>
      </c>
      <c r="N426" s="19">
        <f t="shared" si="34"/>
        <v>3.3797072311034633E-2</v>
      </c>
    </row>
    <row r="427" spans="1:14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>
        <f>VLOOKUP(A427,Лист2!$A$1:$E$505, 3, 0)</f>
        <v>36</v>
      </c>
      <c r="F427" s="7">
        <f>VLOOKUP(A427,Лист2!$A$1:$E$505, 4, 0)</f>
        <v>4862</v>
      </c>
      <c r="G427" s="7">
        <f>VLOOKUP(A427,Лист2!$A$1:$E$505, 5, 0)</f>
        <v>4476</v>
      </c>
      <c r="H427" s="14">
        <f t="shared" si="30"/>
        <v>8856</v>
      </c>
      <c r="I427">
        <f t="shared" si="31"/>
        <v>20</v>
      </c>
      <c r="K427" s="18">
        <f t="shared" si="32"/>
        <v>272926.5</v>
      </c>
      <c r="L427">
        <f t="shared" si="33"/>
        <v>37</v>
      </c>
      <c r="N427" s="19">
        <f t="shared" si="34"/>
        <v>3.4979269201629241E-2</v>
      </c>
    </row>
    <row r="428" spans="1:14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>
        <f>VLOOKUP(A428,Лист2!$A$1:$E$505, 3, 0)</f>
        <v>36</v>
      </c>
      <c r="F428" s="7">
        <f>VLOOKUP(A428,Лист2!$A$1:$E$505, 4, 0)</f>
        <v>4951</v>
      </c>
      <c r="G428" s="7">
        <f>VLOOKUP(A428,Лист2!$A$1:$E$505, 5, 0)</f>
        <v>4584</v>
      </c>
      <c r="H428" s="14">
        <f t="shared" si="30"/>
        <v>10278.125</v>
      </c>
      <c r="I428">
        <f t="shared" si="31"/>
        <v>22</v>
      </c>
      <c r="K428" s="18">
        <f t="shared" si="32"/>
        <v>349699.5</v>
      </c>
      <c r="L428">
        <f t="shared" si="33"/>
        <v>37</v>
      </c>
      <c r="N428" s="19">
        <f t="shared" si="34"/>
        <v>4.6443334601661841E-2</v>
      </c>
    </row>
    <row r="429" spans="1:14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>
        <f>VLOOKUP(A429,Лист2!$A$1:$E$505, 3, 0)</f>
        <v>36</v>
      </c>
      <c r="F429" s="7">
        <f>VLOOKUP(A429,Лист2!$A$1:$E$505, 4, 0)</f>
        <v>4857</v>
      </c>
      <c r="G429" s="7">
        <f>VLOOKUP(A429,Лист2!$A$1:$E$505, 5, 0)</f>
        <v>4456</v>
      </c>
      <c r="H429" s="14">
        <f t="shared" si="30"/>
        <v>10917.166666666666</v>
      </c>
      <c r="I429">
        <f t="shared" si="31"/>
        <v>21</v>
      </c>
      <c r="K429" s="18">
        <f t="shared" si="32"/>
        <v>349699.5</v>
      </c>
      <c r="L429">
        <f t="shared" si="33"/>
        <v>37</v>
      </c>
      <c r="N429" s="19">
        <f t="shared" si="34"/>
        <v>4.870537461164999E-2</v>
      </c>
    </row>
    <row r="430" spans="1:14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VLOOKUP(A430,Лист2!$A$1:$E$505, 3, 0)</f>
        <v>37</v>
      </c>
      <c r="F430" s="7">
        <f>VLOOKUP(A430,Лист2!$A$1:$E$505, 4, 0)</f>
        <v>4722</v>
      </c>
      <c r="G430" s="7">
        <f>VLOOKUP(A430,Лист2!$A$1:$E$505, 5, 0)</f>
        <v>4352</v>
      </c>
      <c r="H430" s="14">
        <f t="shared" si="30"/>
        <v>9451.3378378378384</v>
      </c>
      <c r="I430">
        <f t="shared" si="31"/>
        <v>23</v>
      </c>
      <c r="K430" s="18">
        <f t="shared" si="32"/>
        <v>349699.5</v>
      </c>
      <c r="L430">
        <f t="shared" si="33"/>
        <v>37</v>
      </c>
      <c r="N430" s="19">
        <f t="shared" si="34"/>
        <v>5.1199043189975806E-2</v>
      </c>
    </row>
    <row r="431" spans="1:14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>
        <f>VLOOKUP(A431,Лист2!$A$1:$E$505, 3, 0)</f>
        <v>36</v>
      </c>
      <c r="F431" s="7">
        <f>VLOOKUP(A431,Лист2!$A$1:$E$505, 4, 0)</f>
        <v>4150</v>
      </c>
      <c r="G431" s="7">
        <f>VLOOKUP(A431,Лист2!$A$1:$E$505, 5, 0)</f>
        <v>3838</v>
      </c>
      <c r="H431" s="14">
        <f t="shared" si="30"/>
        <v>8849.0416666666661</v>
      </c>
      <c r="I431">
        <f t="shared" si="31"/>
        <v>20</v>
      </c>
      <c r="K431" s="18">
        <f t="shared" si="32"/>
        <v>349699.5</v>
      </c>
      <c r="L431">
        <f t="shared" si="33"/>
        <v>37</v>
      </c>
      <c r="N431" s="19">
        <f t="shared" si="34"/>
        <v>5.3961837646235904E-2</v>
      </c>
    </row>
    <row r="432" spans="1:14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VLOOKUP(A432,Лист2!$A$1:$E$505, 3, 0)</f>
        <v>37</v>
      </c>
      <c r="F432" s="7">
        <f>VLOOKUP(A432,Лист2!$A$1:$E$505, 4, 0)</f>
        <v>5672</v>
      </c>
      <c r="G432" s="7">
        <f>VLOOKUP(A432,Лист2!$A$1:$E$505, 5, 0)</f>
        <v>5198</v>
      </c>
      <c r="H432" s="14">
        <f t="shared" si="30"/>
        <v>11431.5</v>
      </c>
      <c r="I432">
        <f t="shared" si="31"/>
        <v>22</v>
      </c>
      <c r="K432" s="18">
        <f t="shared" si="32"/>
        <v>272926.5</v>
      </c>
      <c r="L432">
        <f t="shared" si="33"/>
        <v>37</v>
      </c>
      <c r="N432" s="19">
        <f t="shared" si="34"/>
        <v>4.451729522279077E-2</v>
      </c>
    </row>
    <row r="433" spans="1:14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>
        <f>VLOOKUP(A433,Лист2!$A$1:$E$505, 3, 0)</f>
        <v>36</v>
      </c>
      <c r="F433" s="7">
        <f>VLOOKUP(A433,Лист2!$A$1:$E$505, 4, 0)</f>
        <v>4885</v>
      </c>
      <c r="G433" s="7">
        <f>VLOOKUP(A433,Лист2!$A$1:$E$505, 5, 0)</f>
        <v>4502</v>
      </c>
      <c r="H433" s="14">
        <f t="shared" si="30"/>
        <v>9863.375</v>
      </c>
      <c r="I433">
        <f t="shared" si="31"/>
        <v>21</v>
      </c>
      <c r="K433" s="18">
        <f t="shared" si="32"/>
        <v>349699.5</v>
      </c>
      <c r="L433">
        <f t="shared" si="33"/>
        <v>37</v>
      </c>
      <c r="N433" s="19">
        <f t="shared" si="34"/>
        <v>5.9697376375937299E-2</v>
      </c>
    </row>
    <row r="434" spans="1:14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>
        <f>VLOOKUP(A434,Лист2!$A$1:$E$505, 3, 0)</f>
        <v>36</v>
      </c>
      <c r="F434" s="7">
        <f>VLOOKUP(A434,Лист2!$A$1:$E$505, 4, 0)</f>
        <v>4285</v>
      </c>
      <c r="G434" s="7">
        <f>VLOOKUP(A434,Лист2!$A$1:$E$505, 5, 0)</f>
        <v>3950</v>
      </c>
      <c r="H434" s="14">
        <f t="shared" si="30"/>
        <v>9955.2083333333339</v>
      </c>
      <c r="I434">
        <f t="shared" si="31"/>
        <v>20</v>
      </c>
      <c r="K434" s="18">
        <f t="shared" si="32"/>
        <v>349699.5</v>
      </c>
      <c r="L434">
        <f t="shared" si="33"/>
        <v>37</v>
      </c>
      <c r="N434" s="19">
        <f t="shared" si="34"/>
        <v>6.3487408070664469E-2</v>
      </c>
    </row>
    <row r="435" spans="1:14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>
        <f>VLOOKUP(A435,Лист2!$A$1:$E$505, 3, 0)</f>
        <v>36</v>
      </c>
      <c r="F435" s="7">
        <f>VLOOKUP(A435,Лист2!$A$1:$E$505, 4, 0)</f>
        <v>4862</v>
      </c>
      <c r="G435" s="7">
        <f>VLOOKUP(A435,Лист2!$A$1:$E$505, 5, 0)</f>
        <v>4476</v>
      </c>
      <c r="H435" s="14">
        <f t="shared" si="30"/>
        <v>11201.708333333334</v>
      </c>
      <c r="I435">
        <f t="shared" si="31"/>
        <v>20</v>
      </c>
      <c r="K435" s="18">
        <f t="shared" si="32"/>
        <v>349699.5</v>
      </c>
      <c r="L435">
        <f t="shared" si="33"/>
        <v>37</v>
      </c>
      <c r="N435" s="19">
        <f t="shared" si="34"/>
        <v>6.7791302132812023E-2</v>
      </c>
    </row>
    <row r="436" spans="1:14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>
        <f>VLOOKUP(A436,Лист2!$A$1:$E$505, 3, 0)</f>
        <v>36</v>
      </c>
      <c r="F436" s="7">
        <f>VLOOKUP(A436,Лист2!$A$1:$E$505, 4, 0)</f>
        <v>4951</v>
      </c>
      <c r="G436" s="7">
        <f>VLOOKUP(A436,Лист2!$A$1:$E$505, 5, 0)</f>
        <v>4584</v>
      </c>
      <c r="H436" s="14">
        <f t="shared" si="30"/>
        <v>1916.9583333333333</v>
      </c>
      <c r="I436">
        <f t="shared" si="31"/>
        <v>22</v>
      </c>
      <c r="K436" s="18">
        <f t="shared" si="32"/>
        <v>64740</v>
      </c>
      <c r="L436">
        <f t="shared" si="33"/>
        <v>37</v>
      </c>
      <c r="N436" s="19">
        <f t="shared" si="34"/>
        <v>1.3462896556542918E-2</v>
      </c>
    </row>
    <row r="437" spans="1:14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>
        <f>VLOOKUP(A437,Лист2!$A$1:$E$505, 3, 0)</f>
        <v>36</v>
      </c>
      <c r="F437" s="7">
        <f>VLOOKUP(A437,Лист2!$A$1:$E$505, 4, 0)</f>
        <v>4857</v>
      </c>
      <c r="G437" s="7">
        <f>VLOOKUP(A437,Лист2!$A$1:$E$505, 5, 0)</f>
        <v>4456</v>
      </c>
      <c r="H437" s="14">
        <f t="shared" si="30"/>
        <v>2106.125</v>
      </c>
      <c r="I437">
        <f t="shared" si="31"/>
        <v>21</v>
      </c>
      <c r="K437" s="18">
        <f t="shared" si="32"/>
        <v>64740</v>
      </c>
      <c r="L437">
        <f t="shared" si="33"/>
        <v>37</v>
      </c>
      <c r="N437" s="19">
        <f t="shared" si="34"/>
        <v>1.3646619584353563E-2</v>
      </c>
    </row>
    <row r="438" spans="1:14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>
        <f>VLOOKUP(A438,Лист2!$A$1:$E$505, 3, 0)</f>
        <v>37</v>
      </c>
      <c r="F438" s="7">
        <f>VLOOKUP(A438,Лист2!$A$1:$E$505, 4, 0)</f>
        <v>4722</v>
      </c>
      <c r="G438" s="7">
        <f>VLOOKUP(A438,Лист2!$A$1:$E$505, 5, 0)</f>
        <v>4352</v>
      </c>
      <c r="H438" s="14">
        <f t="shared" si="30"/>
        <v>1749.7297297297298</v>
      </c>
      <c r="I438">
        <f t="shared" si="31"/>
        <v>23</v>
      </c>
      <c r="K438" s="18">
        <f t="shared" si="32"/>
        <v>64740</v>
      </c>
      <c r="L438">
        <f t="shared" si="33"/>
        <v>37</v>
      </c>
      <c r="N438" s="19">
        <f t="shared" si="34"/>
        <v>1.3835426385017221E-2</v>
      </c>
    </row>
    <row r="439" spans="1:14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>
        <f>VLOOKUP(A439,Лист2!$A$1:$E$505, 3, 0)</f>
        <v>36</v>
      </c>
      <c r="F439" s="7">
        <f>VLOOKUP(A439,Лист2!$A$1:$E$505, 4, 0)</f>
        <v>4150</v>
      </c>
      <c r="G439" s="7">
        <f>VLOOKUP(A439,Лист2!$A$1:$E$505, 5, 0)</f>
        <v>3838</v>
      </c>
      <c r="H439" s="14">
        <f t="shared" si="30"/>
        <v>1654.8333333333333</v>
      </c>
      <c r="I439">
        <f t="shared" si="31"/>
        <v>20</v>
      </c>
      <c r="K439" s="18">
        <f t="shared" si="32"/>
        <v>64740</v>
      </c>
      <c r="L439">
        <f t="shared" si="33"/>
        <v>37</v>
      </c>
      <c r="N439" s="19">
        <f t="shared" si="34"/>
        <v>1.4029530927379298E-2</v>
      </c>
    </row>
    <row r="440" spans="1:14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>
        <f>VLOOKUP(A440,Лист2!$A$1:$E$505, 3, 0)</f>
        <v>37</v>
      </c>
      <c r="F440" s="7">
        <f>VLOOKUP(A440,Лист2!$A$1:$E$505, 4, 0)</f>
        <v>5672</v>
      </c>
      <c r="G440" s="7">
        <f>VLOOKUP(A440,Лист2!$A$1:$E$505, 5, 0)</f>
        <v>5198</v>
      </c>
      <c r="H440" s="14">
        <f t="shared" si="30"/>
        <v>14175.162162162162</v>
      </c>
      <c r="I440">
        <f t="shared" si="31"/>
        <v>22</v>
      </c>
      <c r="K440" s="18">
        <f t="shared" si="32"/>
        <v>349699.5</v>
      </c>
      <c r="L440">
        <f t="shared" si="33"/>
        <v>37</v>
      </c>
      <c r="N440" s="19">
        <f t="shared" si="34"/>
        <v>7.6860208729503554E-2</v>
      </c>
    </row>
    <row r="441" spans="1:14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>
        <f>VLOOKUP(A441,Лист2!$A$1:$E$505, 3, 0)</f>
        <v>36</v>
      </c>
      <c r="F441" s="7">
        <f>VLOOKUP(A441,Лист2!$A$1:$E$505, 4, 0)</f>
        <v>4885</v>
      </c>
      <c r="G441" s="7">
        <f>VLOOKUP(A441,Лист2!$A$1:$E$505, 5, 0)</f>
        <v>4502</v>
      </c>
      <c r="H441" s="14">
        <f t="shared" si="30"/>
        <v>1952.1666666666667</v>
      </c>
      <c r="I441">
        <f t="shared" si="31"/>
        <v>21</v>
      </c>
      <c r="K441" s="18">
        <f t="shared" si="32"/>
        <v>64740</v>
      </c>
      <c r="L441">
        <f t="shared" si="33"/>
        <v>37</v>
      </c>
      <c r="N441" s="19">
        <f t="shared" si="34"/>
        <v>1.5413872842691714E-2</v>
      </c>
    </row>
    <row r="442" spans="1:14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>
        <f>VLOOKUP(A442,Лист2!$A$1:$E$505, 3, 0)</f>
        <v>36</v>
      </c>
      <c r="F442" s="7">
        <f>VLOOKUP(A442,Лист2!$A$1:$E$505, 4, 0)</f>
        <v>4285</v>
      </c>
      <c r="G442" s="7">
        <f>VLOOKUP(A442,Лист2!$A$1:$E$505, 5, 0)</f>
        <v>3950</v>
      </c>
      <c r="H442" s="14">
        <f t="shared" si="30"/>
        <v>1767.9166666666667</v>
      </c>
      <c r="I442">
        <f t="shared" si="31"/>
        <v>20</v>
      </c>
      <c r="K442" s="18">
        <f t="shared" si="32"/>
        <v>64740</v>
      </c>
      <c r="L442">
        <f t="shared" si="33"/>
        <v>37</v>
      </c>
      <c r="N442" s="19">
        <f t="shared" si="34"/>
        <v>1.565517979335598E-2</v>
      </c>
    </row>
    <row r="443" spans="1:14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>
        <f>VLOOKUP(A443,Лист2!$A$1:$E$505, 3, 0)</f>
        <v>36</v>
      </c>
      <c r="F443" s="7">
        <f>VLOOKUP(A443,Лист2!$A$1:$E$505, 4, 0)</f>
        <v>4862</v>
      </c>
      <c r="G443" s="7">
        <f>VLOOKUP(A443,Лист2!$A$1:$E$505, 5, 0)</f>
        <v>4476</v>
      </c>
      <c r="H443" s="14">
        <f t="shared" si="30"/>
        <v>2101.1666666666665</v>
      </c>
      <c r="I443">
        <f t="shared" si="31"/>
        <v>20</v>
      </c>
      <c r="K443" s="18">
        <f t="shared" si="32"/>
        <v>64740</v>
      </c>
      <c r="L443">
        <f t="shared" si="33"/>
        <v>37</v>
      </c>
      <c r="N443" s="19">
        <f t="shared" si="34"/>
        <v>1.5904162313841889E-2</v>
      </c>
    </row>
    <row r="444" spans="1:14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>
        <f>VLOOKUP(A444,Лист2!$A$1:$E$505, 3, 0)</f>
        <v>36</v>
      </c>
      <c r="F444" s="7">
        <f>VLOOKUP(A444,Лист2!$A$1:$E$505, 4, 0)</f>
        <v>4951</v>
      </c>
      <c r="G444" s="7">
        <f>VLOOKUP(A444,Лист2!$A$1:$E$505, 5, 0)</f>
        <v>4584</v>
      </c>
      <c r="H444" s="14">
        <f t="shared" si="30"/>
        <v>1122.7916666666667</v>
      </c>
      <c r="I444">
        <f t="shared" si="31"/>
        <v>22</v>
      </c>
      <c r="K444" s="18">
        <f t="shared" si="32"/>
        <v>40528.5</v>
      </c>
      <c r="L444">
        <f t="shared" si="33"/>
        <v>37</v>
      </c>
      <c r="N444" s="19">
        <f t="shared" si="34"/>
        <v>1.0117221068713152E-2</v>
      </c>
    </row>
    <row r="445" spans="1:14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>
        <f>VLOOKUP(A445,Лист2!$A$1:$E$505, 3, 0)</f>
        <v>36</v>
      </c>
      <c r="F445" s="7">
        <f>VLOOKUP(A445,Лист2!$A$1:$E$505, 4, 0)</f>
        <v>4857</v>
      </c>
      <c r="G445" s="7">
        <f>VLOOKUP(A445,Лист2!$A$1:$E$505, 5, 0)</f>
        <v>4456</v>
      </c>
      <c r="H445" s="14">
        <f t="shared" si="30"/>
        <v>1495.5</v>
      </c>
      <c r="I445">
        <f t="shared" si="31"/>
        <v>21</v>
      </c>
      <c r="K445" s="18">
        <f t="shared" si="32"/>
        <v>40528.5</v>
      </c>
      <c r="L445">
        <f t="shared" si="33"/>
        <v>37</v>
      </c>
      <c r="N445" s="19">
        <f t="shared" si="34"/>
        <v>1.0220625395297885E-2</v>
      </c>
    </row>
    <row r="446" spans="1:14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>
        <f>VLOOKUP(A446,Лист2!$A$1:$E$505, 3, 0)</f>
        <v>37</v>
      </c>
      <c r="F446" s="7">
        <f>VLOOKUP(A446,Лист2!$A$1:$E$505, 4, 0)</f>
        <v>4722</v>
      </c>
      <c r="G446" s="7">
        <f>VLOOKUP(A446,Лист2!$A$1:$E$505, 5, 0)</f>
        <v>4352</v>
      </c>
      <c r="H446" s="14">
        <f t="shared" si="30"/>
        <v>1095.3648648648648</v>
      </c>
      <c r="I446">
        <f t="shared" si="31"/>
        <v>23</v>
      </c>
      <c r="K446" s="18">
        <f t="shared" si="32"/>
        <v>40528.5</v>
      </c>
      <c r="L446">
        <f t="shared" si="33"/>
        <v>37</v>
      </c>
      <c r="N446" s="19">
        <f t="shared" si="34"/>
        <v>1.0326165262212901E-2</v>
      </c>
    </row>
    <row r="447" spans="1:14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>
        <f>VLOOKUP(A447,Лист2!$A$1:$E$505, 3, 0)</f>
        <v>36</v>
      </c>
      <c r="F447" s="7">
        <f>VLOOKUP(A447,Лист2!$A$1:$E$505, 4, 0)</f>
        <v>4150</v>
      </c>
      <c r="G447" s="7">
        <f>VLOOKUP(A447,Лист2!$A$1:$E$505, 5, 0)</f>
        <v>3838</v>
      </c>
      <c r="H447" s="14">
        <f t="shared" si="30"/>
        <v>909.25</v>
      </c>
      <c r="I447">
        <f t="shared" si="31"/>
        <v>20</v>
      </c>
      <c r="K447" s="18">
        <f t="shared" si="32"/>
        <v>40528.5</v>
      </c>
      <c r="L447">
        <f t="shared" si="33"/>
        <v>37</v>
      </c>
      <c r="N447" s="19">
        <f t="shared" si="34"/>
        <v>1.0433907515549106E-2</v>
      </c>
    </row>
    <row r="448" spans="1:14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>
        <f>VLOOKUP(A448,Лист2!$A$1:$E$505, 3, 0)</f>
        <v>37</v>
      </c>
      <c r="F448" s="7">
        <f>VLOOKUP(A448,Лист2!$A$1:$E$505, 4, 0)</f>
        <v>5672</v>
      </c>
      <c r="G448" s="7">
        <f>VLOOKUP(A448,Лист2!$A$1:$E$505, 5, 0)</f>
        <v>5198</v>
      </c>
      <c r="H448" s="14">
        <f t="shared" si="30"/>
        <v>2281.9864864864867</v>
      </c>
      <c r="I448">
        <f t="shared" si="31"/>
        <v>22</v>
      </c>
      <c r="K448" s="18">
        <f t="shared" si="32"/>
        <v>64740</v>
      </c>
      <c r="L448">
        <f t="shared" si="33"/>
        <v>37</v>
      </c>
      <c r="N448" s="19">
        <f t="shared" si="34"/>
        <v>1.6842801946053865E-2</v>
      </c>
    </row>
    <row r="449" spans="1:14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>
        <f>VLOOKUP(A449,Лист2!$A$1:$E$505, 3, 0)</f>
        <v>36</v>
      </c>
      <c r="F449" s="7">
        <f>VLOOKUP(A449,Лист2!$A$1:$E$505, 4, 0)</f>
        <v>4885</v>
      </c>
      <c r="G449" s="7">
        <f>VLOOKUP(A449,Лист2!$A$1:$E$505, 5, 0)</f>
        <v>4502</v>
      </c>
      <c r="H449" s="14">
        <f t="shared" si="30"/>
        <v>1018.2083333333334</v>
      </c>
      <c r="I449">
        <f t="shared" si="31"/>
        <v>21</v>
      </c>
      <c r="K449" s="18">
        <f t="shared" si="32"/>
        <v>40528.5</v>
      </c>
      <c r="L449">
        <f t="shared" si="33"/>
        <v>37</v>
      </c>
      <c r="N449" s="19">
        <f t="shared" si="34"/>
        <v>1.0724553348689091E-2</v>
      </c>
    </row>
    <row r="450" spans="1:14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>
        <f>VLOOKUP(A450,Лист2!$A$1:$E$505, 3, 0)</f>
        <v>36</v>
      </c>
      <c r="F450" s="7">
        <f>VLOOKUP(A450,Лист2!$A$1:$E$505, 4, 0)</f>
        <v>4285</v>
      </c>
      <c r="G450" s="7">
        <f>VLOOKUP(A450,Лист2!$A$1:$E$505, 5, 0)</f>
        <v>3950</v>
      </c>
      <c r="H450" s="14">
        <f t="shared" si="30"/>
        <v>941.29166666666663</v>
      </c>
      <c r="I450">
        <f t="shared" si="31"/>
        <v>20</v>
      </c>
      <c r="K450" s="18">
        <f t="shared" si="32"/>
        <v>40528.5</v>
      </c>
      <c r="L450">
        <f t="shared" si="33"/>
        <v>37</v>
      </c>
      <c r="N450" s="19">
        <f t="shared" si="34"/>
        <v>1.0840816261023777E-2</v>
      </c>
    </row>
    <row r="451" spans="1:14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>
        <f>VLOOKUP(A451,Лист2!$A$1:$E$505, 3, 0)</f>
        <v>36</v>
      </c>
      <c r="F451" s="7">
        <f>VLOOKUP(A451,Лист2!$A$1:$E$505, 4, 0)</f>
        <v>4862</v>
      </c>
      <c r="G451" s="7">
        <f>VLOOKUP(A451,Лист2!$A$1:$E$505, 5, 0)</f>
        <v>4476</v>
      </c>
      <c r="H451" s="14">
        <f t="shared" ref="H451:H505" si="35">IF(E451&gt;0, C451 / E451, 0)</f>
        <v>1158.25</v>
      </c>
      <c r="I451">
        <f t="shared" ref="I451:I505" si="36">WEEKNUM(A451,2)</f>
        <v>20</v>
      </c>
      <c r="K451" s="18">
        <f t="shared" ref="K451:K505" si="37">SUMIFS($C:$C,$B:$B,B451,$I:$I,$J$2)</f>
        <v>40528.5</v>
      </c>
      <c r="L451">
        <f t="shared" ref="L451:L505" si="38">SUMIFS($E:$E,$B:$B,B451,$I:$I,$J$2)</f>
        <v>37</v>
      </c>
      <c r="N451" s="19">
        <f t="shared" ref="N451:N505" si="39">K451/ SUM(K451:K954)</f>
        <v>1.0959627569797199E-2</v>
      </c>
    </row>
    <row r="452" spans="1:14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>
        <f>VLOOKUP(A452,Лист2!$A$1:$E$505, 3, 0)</f>
        <v>37</v>
      </c>
      <c r="F452" s="7">
        <f>VLOOKUP(A452,Лист2!$A$1:$E$505, 4, 0)</f>
        <v>5672</v>
      </c>
      <c r="G452" s="7">
        <f>VLOOKUP(A452,Лист2!$A$1:$E$505, 5, 0)</f>
        <v>5198</v>
      </c>
      <c r="H452" s="14">
        <f t="shared" si="35"/>
        <v>1204.581081081081</v>
      </c>
      <c r="I452">
        <f t="shared" si="36"/>
        <v>22</v>
      </c>
      <c r="K452" s="18">
        <f t="shared" si="37"/>
        <v>40528.5</v>
      </c>
      <c r="L452">
        <f t="shared" si="38"/>
        <v>37</v>
      </c>
      <c r="N452" s="19">
        <f t="shared" si="39"/>
        <v>1.1081071991902561E-2</v>
      </c>
    </row>
    <row r="453" spans="1:14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>
        <f>VLOOKUP(A453,Лист2!$A$1:$E$505, 3, 0)</f>
        <v>36</v>
      </c>
      <c r="F453" s="7">
        <f>VLOOKUP(A453,Лист2!$A$1:$E$505, 4, 0)</f>
        <v>4951</v>
      </c>
      <c r="G453" s="7">
        <f>VLOOKUP(A453,Лист2!$A$1:$E$505, 5, 0)</f>
        <v>4584</v>
      </c>
      <c r="H453" s="14">
        <f t="shared" si="35"/>
        <v>501.91666666666669</v>
      </c>
      <c r="I453">
        <f t="shared" si="36"/>
        <v>22</v>
      </c>
      <c r="K453" s="18">
        <f t="shared" si="37"/>
        <v>16687.5</v>
      </c>
      <c r="L453">
        <f t="shared" si="38"/>
        <v>37</v>
      </c>
      <c r="N453" s="19">
        <f t="shared" si="39"/>
        <v>4.61372638549685E-3</v>
      </c>
    </row>
    <row r="454" spans="1:14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>
        <f>VLOOKUP(A454,Лист2!$A$1:$E$505, 3, 0)</f>
        <v>36</v>
      </c>
      <c r="F454" s="7">
        <f>VLOOKUP(A454,Лист2!$A$1:$E$505, 4, 0)</f>
        <v>4857</v>
      </c>
      <c r="G454" s="7">
        <f>VLOOKUP(A454,Лист2!$A$1:$E$505, 5, 0)</f>
        <v>4456</v>
      </c>
      <c r="H454" s="14">
        <f t="shared" si="35"/>
        <v>596.75</v>
      </c>
      <c r="I454">
        <f t="shared" si="36"/>
        <v>21</v>
      </c>
      <c r="K454" s="18">
        <f t="shared" si="37"/>
        <v>16687.5</v>
      </c>
      <c r="L454">
        <f t="shared" si="38"/>
        <v>37</v>
      </c>
      <c r="N454" s="19">
        <f t="shared" si="39"/>
        <v>4.6351115218248133E-3</v>
      </c>
    </row>
    <row r="455" spans="1:14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>
        <f>VLOOKUP(A455,Лист2!$A$1:$E$505, 3, 0)</f>
        <v>37</v>
      </c>
      <c r="F455" s="7">
        <f>VLOOKUP(A455,Лист2!$A$1:$E$505, 4, 0)</f>
        <v>4722</v>
      </c>
      <c r="G455" s="7">
        <f>VLOOKUP(A455,Лист2!$A$1:$E$505, 5, 0)</f>
        <v>4352</v>
      </c>
      <c r="H455" s="14">
        <f t="shared" si="35"/>
        <v>451.01351351351349</v>
      </c>
      <c r="I455">
        <f t="shared" si="36"/>
        <v>23</v>
      </c>
      <c r="K455" s="18">
        <f t="shared" si="37"/>
        <v>16687.5</v>
      </c>
      <c r="L455">
        <f t="shared" si="38"/>
        <v>37</v>
      </c>
      <c r="N455" s="19">
        <f t="shared" si="39"/>
        <v>4.6566958263029434E-3</v>
      </c>
    </row>
    <row r="456" spans="1:14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>
        <f>VLOOKUP(A456,Лист2!$A$1:$E$505, 3, 0)</f>
        <v>36</v>
      </c>
      <c r="F456" s="7">
        <f>VLOOKUP(A456,Лист2!$A$1:$E$505, 4, 0)</f>
        <v>4150</v>
      </c>
      <c r="G456" s="7">
        <f>VLOOKUP(A456,Лист2!$A$1:$E$505, 5, 0)</f>
        <v>3838</v>
      </c>
      <c r="H456" s="14">
        <f t="shared" si="35"/>
        <v>339.95833333333331</v>
      </c>
      <c r="I456">
        <f t="shared" si="36"/>
        <v>20</v>
      </c>
      <c r="K456" s="18">
        <f t="shared" si="37"/>
        <v>16687.5</v>
      </c>
      <c r="L456">
        <f t="shared" si="38"/>
        <v>37</v>
      </c>
      <c r="N456" s="19">
        <f t="shared" si="39"/>
        <v>4.6784820943451136E-3</v>
      </c>
    </row>
    <row r="457" spans="1:14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>
        <f>VLOOKUP(A457,Лист2!$A$1:$E$505, 3, 0)</f>
        <v>36</v>
      </c>
      <c r="F457" s="7">
        <f>VLOOKUP(A457,Лист2!$A$1:$E$505, 4, 0)</f>
        <v>4885</v>
      </c>
      <c r="G457" s="7">
        <f>VLOOKUP(A457,Лист2!$A$1:$E$505, 5, 0)</f>
        <v>4502</v>
      </c>
      <c r="H457" s="14">
        <f t="shared" si="35"/>
        <v>396.95833333333331</v>
      </c>
      <c r="I457">
        <f t="shared" si="36"/>
        <v>21</v>
      </c>
      <c r="K457" s="18">
        <f t="shared" si="37"/>
        <v>16687.5</v>
      </c>
      <c r="L457">
        <f t="shared" si="38"/>
        <v>37</v>
      </c>
      <c r="N457" s="19">
        <f t="shared" si="39"/>
        <v>4.7004731739242675E-3</v>
      </c>
    </row>
    <row r="458" spans="1:14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>
        <f>VLOOKUP(A458,Лист2!$A$1:$E$505, 3, 0)</f>
        <v>36</v>
      </c>
      <c r="F458" s="7">
        <f>VLOOKUP(A458,Лист2!$A$1:$E$505, 4, 0)</f>
        <v>4285</v>
      </c>
      <c r="G458" s="7">
        <f>VLOOKUP(A458,Лист2!$A$1:$E$505, 5, 0)</f>
        <v>3950</v>
      </c>
      <c r="H458" s="14">
        <f t="shared" si="35"/>
        <v>399.58333333333331</v>
      </c>
      <c r="I458">
        <f t="shared" si="36"/>
        <v>20</v>
      </c>
      <c r="K458" s="18">
        <f t="shared" si="37"/>
        <v>16687.5</v>
      </c>
      <c r="L458">
        <f t="shared" si="38"/>
        <v>37</v>
      </c>
      <c r="N458" s="19">
        <f t="shared" si="39"/>
        <v>4.7226719668135185E-3</v>
      </c>
    </row>
    <row r="459" spans="1:14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>
        <f>VLOOKUP(A459,Лист2!$A$1:$E$505, 3, 0)</f>
        <v>36</v>
      </c>
      <c r="F459" s="7">
        <f>VLOOKUP(A459,Лист2!$A$1:$E$505, 4, 0)</f>
        <v>4862</v>
      </c>
      <c r="G459" s="7">
        <f>VLOOKUP(A459,Лист2!$A$1:$E$505, 5, 0)</f>
        <v>4476</v>
      </c>
      <c r="H459" s="14">
        <f t="shared" si="35"/>
        <v>458.29166666666669</v>
      </c>
      <c r="I459">
        <f t="shared" si="36"/>
        <v>20</v>
      </c>
      <c r="K459" s="18">
        <f t="shared" si="37"/>
        <v>16687.5</v>
      </c>
      <c r="L459">
        <f t="shared" si="38"/>
        <v>37</v>
      </c>
      <c r="N459" s="19">
        <f t="shared" si="39"/>
        <v>4.7450814298625778E-3</v>
      </c>
    </row>
    <row r="460" spans="1:14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>
        <f>VLOOKUP(A460,Лист2!$A$1:$E$505, 3, 0)</f>
        <v>36</v>
      </c>
      <c r="F460" s="7">
        <f>VLOOKUP(A460,Лист2!$A$1:$E$505, 4, 0)</f>
        <v>4951</v>
      </c>
      <c r="G460" s="7">
        <f>VLOOKUP(A460,Лист2!$A$1:$E$505, 5, 0)</f>
        <v>4584</v>
      </c>
      <c r="H460" s="14">
        <f t="shared" si="35"/>
        <v>366.75</v>
      </c>
      <c r="I460">
        <f t="shared" si="36"/>
        <v>22</v>
      </c>
      <c r="K460" s="18">
        <f t="shared" si="37"/>
        <v>16476</v>
      </c>
      <c r="L460">
        <f t="shared" si="38"/>
        <v>37</v>
      </c>
      <c r="N460" s="19">
        <f t="shared" si="39"/>
        <v>4.7072779385345384E-3</v>
      </c>
    </row>
    <row r="461" spans="1:14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>
        <f>VLOOKUP(A461,Лист2!$A$1:$E$505, 3, 0)</f>
        <v>36</v>
      </c>
      <c r="F461" s="7">
        <f>VLOOKUP(A461,Лист2!$A$1:$E$505, 4, 0)</f>
        <v>4857</v>
      </c>
      <c r="G461" s="7">
        <f>VLOOKUP(A461,Лист2!$A$1:$E$505, 5, 0)</f>
        <v>4456</v>
      </c>
      <c r="H461" s="14">
        <f t="shared" si="35"/>
        <v>438.95833333333331</v>
      </c>
      <c r="I461">
        <f t="shared" si="36"/>
        <v>21</v>
      </c>
      <c r="K461" s="18">
        <f t="shared" si="37"/>
        <v>16476</v>
      </c>
      <c r="L461">
        <f t="shared" si="38"/>
        <v>37</v>
      </c>
      <c r="N461" s="19">
        <f t="shared" si="39"/>
        <v>4.7295412035011693E-3</v>
      </c>
    </row>
    <row r="462" spans="1:14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>
        <f>VLOOKUP(A462,Лист2!$A$1:$E$505, 3, 0)</f>
        <v>37</v>
      </c>
      <c r="F462" s="7">
        <f>VLOOKUP(A462,Лист2!$A$1:$E$505, 4, 0)</f>
        <v>4722</v>
      </c>
      <c r="G462" s="7">
        <f>VLOOKUP(A462,Лист2!$A$1:$E$505, 5, 0)</f>
        <v>4352</v>
      </c>
      <c r="H462" s="14">
        <f t="shared" si="35"/>
        <v>445.29729729729729</v>
      </c>
      <c r="I462">
        <f t="shared" si="36"/>
        <v>23</v>
      </c>
      <c r="K462" s="18">
        <f t="shared" si="37"/>
        <v>16476</v>
      </c>
      <c r="L462">
        <f t="shared" si="38"/>
        <v>37</v>
      </c>
      <c r="N462" s="19">
        <f t="shared" si="39"/>
        <v>4.7520160592531063E-3</v>
      </c>
    </row>
    <row r="463" spans="1:14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>
        <f>VLOOKUP(A463,Лист2!$A$1:$E$505, 3, 0)</f>
        <v>36</v>
      </c>
      <c r="F463" s="7">
        <f>VLOOKUP(A463,Лист2!$A$1:$E$505, 4, 0)</f>
        <v>4150</v>
      </c>
      <c r="G463" s="7">
        <f>VLOOKUP(A463,Лист2!$A$1:$E$505, 5, 0)</f>
        <v>3838</v>
      </c>
      <c r="H463" s="14">
        <f t="shared" si="35"/>
        <v>351.5</v>
      </c>
      <c r="I463">
        <f t="shared" si="36"/>
        <v>20</v>
      </c>
      <c r="K463" s="18">
        <f t="shared" si="37"/>
        <v>16476</v>
      </c>
      <c r="L463">
        <f t="shared" si="38"/>
        <v>37</v>
      </c>
      <c r="N463" s="19">
        <f t="shared" si="39"/>
        <v>4.7747055366414307E-3</v>
      </c>
    </row>
    <row r="464" spans="1:14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>
        <f>VLOOKUP(A464,Лист2!$A$1:$E$505, 3, 0)</f>
        <v>37</v>
      </c>
      <c r="F464" s="7">
        <f>VLOOKUP(A464,Лист2!$A$1:$E$505, 4, 0)</f>
        <v>5672</v>
      </c>
      <c r="G464" s="7">
        <f>VLOOKUP(A464,Лист2!$A$1:$E$505, 5, 0)</f>
        <v>5198</v>
      </c>
      <c r="H464" s="14">
        <f t="shared" si="35"/>
        <v>531</v>
      </c>
      <c r="I464">
        <f t="shared" si="36"/>
        <v>22</v>
      </c>
      <c r="K464" s="18">
        <f t="shared" si="37"/>
        <v>16687.5</v>
      </c>
      <c r="L464">
        <f t="shared" si="38"/>
        <v>37</v>
      </c>
      <c r="N464" s="19">
        <f t="shared" si="39"/>
        <v>4.8591989768820062E-3</v>
      </c>
    </row>
    <row r="465" spans="1:14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>
        <f>VLOOKUP(A465,Лист2!$A$1:$E$505, 3, 0)</f>
        <v>36</v>
      </c>
      <c r="F465" s="7">
        <f>VLOOKUP(A465,Лист2!$A$1:$E$505, 4, 0)</f>
        <v>4885</v>
      </c>
      <c r="G465" s="7">
        <f>VLOOKUP(A465,Лист2!$A$1:$E$505, 5, 0)</f>
        <v>4502</v>
      </c>
      <c r="H465" s="14">
        <f t="shared" si="35"/>
        <v>345.83333333333331</v>
      </c>
      <c r="I465">
        <f t="shared" si="36"/>
        <v>21</v>
      </c>
      <c r="K465" s="18">
        <f t="shared" si="37"/>
        <v>16476</v>
      </c>
      <c r="L465">
        <f t="shared" si="38"/>
        <v>37</v>
      </c>
      <c r="N465" s="19">
        <f t="shared" si="39"/>
        <v>4.8210391130060525E-3</v>
      </c>
    </row>
    <row r="466" spans="1:14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>
        <f>VLOOKUP(A466,Лист2!$A$1:$E$505, 3, 0)</f>
        <v>36</v>
      </c>
      <c r="F466" s="7">
        <f>VLOOKUP(A466,Лист2!$A$1:$E$505, 4, 0)</f>
        <v>4285</v>
      </c>
      <c r="G466" s="7">
        <f>VLOOKUP(A466,Лист2!$A$1:$E$505, 5, 0)</f>
        <v>3950</v>
      </c>
      <c r="H466" s="14">
        <f t="shared" si="35"/>
        <v>310.04166666666669</v>
      </c>
      <c r="I466">
        <f t="shared" si="36"/>
        <v>20</v>
      </c>
      <c r="K466" s="18">
        <f t="shared" si="37"/>
        <v>16476</v>
      </c>
      <c r="L466">
        <f t="shared" si="38"/>
        <v>37</v>
      </c>
      <c r="N466" s="19">
        <f t="shared" si="39"/>
        <v>4.8443941265690583E-3</v>
      </c>
    </row>
    <row r="467" spans="1:14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>
        <f>VLOOKUP(A467,Лист2!$A$1:$E$505, 3, 0)</f>
        <v>36</v>
      </c>
      <c r="F467" s="7">
        <f>VLOOKUP(A467,Лист2!$A$1:$E$505, 4, 0)</f>
        <v>4862</v>
      </c>
      <c r="G467" s="7">
        <f>VLOOKUP(A467,Лист2!$A$1:$E$505, 5, 0)</f>
        <v>4476</v>
      </c>
      <c r="H467" s="14">
        <f t="shared" si="35"/>
        <v>339.70833333333331</v>
      </c>
      <c r="I467">
        <f t="shared" si="36"/>
        <v>20</v>
      </c>
      <c r="K467" s="18">
        <f t="shared" si="37"/>
        <v>16476</v>
      </c>
      <c r="L467">
        <f t="shared" si="38"/>
        <v>37</v>
      </c>
      <c r="N467" s="19">
        <f t="shared" si="39"/>
        <v>4.8679765234475236E-3</v>
      </c>
    </row>
    <row r="468" spans="1:14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>
        <f>VLOOKUP(A468,Лист2!$A$1:$E$505, 3, 0)</f>
        <v>36</v>
      </c>
      <c r="F468" s="7">
        <f>VLOOKUP(A468,Лист2!$A$1:$E$505, 4, 0)</f>
        <v>4951</v>
      </c>
      <c r="G468" s="7">
        <f>VLOOKUP(A468,Лист2!$A$1:$E$505, 5, 0)</f>
        <v>4584</v>
      </c>
      <c r="H468" s="14">
        <f t="shared" si="35"/>
        <v>779.16666666666663</v>
      </c>
      <c r="I468">
        <f t="shared" si="36"/>
        <v>22</v>
      </c>
      <c r="K468" s="18">
        <f t="shared" si="37"/>
        <v>27960</v>
      </c>
      <c r="L468">
        <f t="shared" si="38"/>
        <v>37</v>
      </c>
      <c r="N468" s="19">
        <f t="shared" si="39"/>
        <v>8.3014347141594242E-3</v>
      </c>
    </row>
    <row r="469" spans="1:14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>
        <f>VLOOKUP(A469,Лист2!$A$1:$E$505, 3, 0)</f>
        <v>36</v>
      </c>
      <c r="F469" s="7">
        <f>VLOOKUP(A469,Лист2!$A$1:$E$505, 4, 0)</f>
        <v>4857</v>
      </c>
      <c r="G469" s="7">
        <f>VLOOKUP(A469,Лист2!$A$1:$E$505, 5, 0)</f>
        <v>4456</v>
      </c>
      <c r="H469" s="14">
        <f t="shared" si="35"/>
        <v>855.04166666666663</v>
      </c>
      <c r="I469">
        <f t="shared" si="36"/>
        <v>21</v>
      </c>
      <c r="K469" s="18">
        <f t="shared" si="37"/>
        <v>27960</v>
      </c>
      <c r="L469">
        <f t="shared" si="38"/>
        <v>37</v>
      </c>
      <c r="N469" s="19">
        <f t="shared" si="39"/>
        <v>8.3709254049053449E-3</v>
      </c>
    </row>
    <row r="470" spans="1:14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>
        <f>VLOOKUP(A470,Лист2!$A$1:$E$505, 3, 0)</f>
        <v>37</v>
      </c>
      <c r="F470" s="7">
        <f>VLOOKUP(A470,Лист2!$A$1:$E$505, 4, 0)</f>
        <v>4722</v>
      </c>
      <c r="G470" s="7">
        <f>VLOOKUP(A470,Лист2!$A$1:$E$505, 5, 0)</f>
        <v>4352</v>
      </c>
      <c r="H470" s="14">
        <f t="shared" si="35"/>
        <v>755.67567567567562</v>
      </c>
      <c r="I470">
        <f t="shared" si="36"/>
        <v>23</v>
      </c>
      <c r="K470" s="18">
        <f t="shared" si="37"/>
        <v>27960</v>
      </c>
      <c r="L470">
        <f t="shared" si="38"/>
        <v>37</v>
      </c>
      <c r="N470" s="19">
        <f t="shared" si="39"/>
        <v>8.4415893193968607E-3</v>
      </c>
    </row>
    <row r="471" spans="1:14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>
        <f>VLOOKUP(A471,Лист2!$A$1:$E$505, 3, 0)</f>
        <v>36</v>
      </c>
      <c r="F471" s="7">
        <f>VLOOKUP(A471,Лист2!$A$1:$E$505, 4, 0)</f>
        <v>4150</v>
      </c>
      <c r="G471" s="7">
        <f>VLOOKUP(A471,Лист2!$A$1:$E$505, 5, 0)</f>
        <v>3838</v>
      </c>
      <c r="H471" s="14">
        <f t="shared" si="35"/>
        <v>656.375</v>
      </c>
      <c r="I471">
        <f t="shared" si="36"/>
        <v>20</v>
      </c>
      <c r="K471" s="18">
        <f t="shared" si="37"/>
        <v>27960</v>
      </c>
      <c r="L471">
        <f t="shared" si="38"/>
        <v>37</v>
      </c>
      <c r="N471" s="19">
        <f t="shared" si="39"/>
        <v>8.5134564222016686E-3</v>
      </c>
    </row>
    <row r="472" spans="1:14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>
        <f>VLOOKUP(A472,Лист2!$A$1:$E$505, 3, 0)</f>
        <v>37</v>
      </c>
      <c r="F472" s="7">
        <f>VLOOKUP(A472,Лист2!$A$1:$E$505, 4, 0)</f>
        <v>5672</v>
      </c>
      <c r="G472" s="7">
        <f>VLOOKUP(A472,Лист2!$A$1:$E$505, 5, 0)</f>
        <v>5198</v>
      </c>
      <c r="H472" s="14">
        <f t="shared" si="35"/>
        <v>460.86486486486484</v>
      </c>
      <c r="I472">
        <f t="shared" si="36"/>
        <v>22</v>
      </c>
      <c r="K472" s="18">
        <f t="shared" si="37"/>
        <v>16476</v>
      </c>
      <c r="L472">
        <f t="shared" si="38"/>
        <v>37</v>
      </c>
      <c r="N472" s="19">
        <f t="shared" si="39"/>
        <v>5.0598041767338378E-3</v>
      </c>
    </row>
    <row r="473" spans="1:14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>
        <f>VLOOKUP(A473,Лист2!$A$1:$E$505, 3, 0)</f>
        <v>36</v>
      </c>
      <c r="F473" s="7">
        <f>VLOOKUP(A473,Лист2!$A$1:$E$505, 4, 0)</f>
        <v>4885</v>
      </c>
      <c r="G473" s="7">
        <f>VLOOKUP(A473,Лист2!$A$1:$E$505, 5, 0)</f>
        <v>4502</v>
      </c>
      <c r="H473" s="14">
        <f t="shared" si="35"/>
        <v>755.04166666666663</v>
      </c>
      <c r="I473">
        <f t="shared" si="36"/>
        <v>21</v>
      </c>
      <c r="K473" s="18">
        <f t="shared" si="37"/>
        <v>27960</v>
      </c>
      <c r="L473">
        <f t="shared" si="38"/>
        <v>37</v>
      </c>
      <c r="N473" s="19">
        <f t="shared" si="39"/>
        <v>8.6302249553325671E-3</v>
      </c>
    </row>
    <row r="474" spans="1:14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>
        <f>VLOOKUP(A474,Лист2!$A$1:$E$505, 3, 0)</f>
        <v>36</v>
      </c>
      <c r="F474" s="7">
        <f>VLOOKUP(A474,Лист2!$A$1:$E$505, 4, 0)</f>
        <v>4285</v>
      </c>
      <c r="G474" s="7">
        <f>VLOOKUP(A474,Лист2!$A$1:$E$505, 5, 0)</f>
        <v>3950</v>
      </c>
      <c r="H474" s="14">
        <f t="shared" si="35"/>
        <v>712.66666666666663</v>
      </c>
      <c r="I474">
        <f t="shared" si="36"/>
        <v>20</v>
      </c>
      <c r="K474" s="18">
        <f t="shared" si="37"/>
        <v>27960</v>
      </c>
      <c r="L474">
        <f t="shared" si="38"/>
        <v>37</v>
      </c>
      <c r="N474" s="19">
        <f t="shared" si="39"/>
        <v>8.7053541197014209E-3</v>
      </c>
    </row>
    <row r="475" spans="1:14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>
        <f>VLOOKUP(A475,Лист2!$A$1:$E$505, 3, 0)</f>
        <v>36</v>
      </c>
      <c r="F475" s="7">
        <f>VLOOKUP(A475,Лист2!$A$1:$E$505, 4, 0)</f>
        <v>4862</v>
      </c>
      <c r="G475" s="7">
        <f>VLOOKUP(A475,Лист2!$A$1:$E$505, 5, 0)</f>
        <v>4476</v>
      </c>
      <c r="H475" s="14">
        <f t="shared" si="35"/>
        <v>813.41666666666663</v>
      </c>
      <c r="I475">
        <f t="shared" si="36"/>
        <v>20</v>
      </c>
      <c r="K475" s="18">
        <f t="shared" si="37"/>
        <v>27960</v>
      </c>
      <c r="L475">
        <f t="shared" si="38"/>
        <v>37</v>
      </c>
      <c r="N475" s="19">
        <f t="shared" si="39"/>
        <v>8.7818028230857766E-3</v>
      </c>
    </row>
    <row r="476" spans="1:14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>
        <f>VLOOKUP(A476,Лист2!$A$1:$E$505, 3, 0)</f>
        <v>37</v>
      </c>
      <c r="F476" s="7">
        <f>VLOOKUP(A476,Лист2!$A$1:$E$505, 4, 0)</f>
        <v>5672</v>
      </c>
      <c r="G476" s="7">
        <f>VLOOKUP(A476,Лист2!$A$1:$E$505, 5, 0)</f>
        <v>5198</v>
      </c>
      <c r="H476" s="14">
        <f t="shared" si="35"/>
        <v>886.01351351351354</v>
      </c>
      <c r="I476">
        <f t="shared" si="36"/>
        <v>22</v>
      </c>
      <c r="K476" s="18">
        <f t="shared" si="37"/>
        <v>27960</v>
      </c>
      <c r="L476">
        <f t="shared" si="38"/>
        <v>37</v>
      </c>
      <c r="N476" s="19">
        <f t="shared" si="39"/>
        <v>8.8596061372735128E-3</v>
      </c>
    </row>
    <row r="477" spans="1:14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>
        <f>VLOOKUP(A477,Лист2!$A$1:$E$505, 3, 0)</f>
        <v>36</v>
      </c>
      <c r="F477" s="7">
        <f>VLOOKUP(A477,Лист2!$A$1:$E$505, 4, 0)</f>
        <v>4951</v>
      </c>
      <c r="G477" s="7">
        <f>VLOOKUP(A477,Лист2!$A$1:$E$505, 5, 0)</f>
        <v>4584</v>
      </c>
      <c r="H477" s="14">
        <f t="shared" si="35"/>
        <v>5988.666666666667</v>
      </c>
      <c r="I477">
        <f t="shared" si="36"/>
        <v>22</v>
      </c>
      <c r="K477" s="18">
        <f t="shared" si="37"/>
        <v>188776.5</v>
      </c>
      <c r="L477">
        <f t="shared" si="38"/>
        <v>37</v>
      </c>
      <c r="N477" s="19">
        <f t="shared" si="39"/>
        <v>6.0351768650034936E-2</v>
      </c>
    </row>
    <row r="478" spans="1:14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>
        <f>VLOOKUP(A478,Лист2!$A$1:$E$505, 3, 0)</f>
        <v>36</v>
      </c>
      <c r="F478" s="7">
        <f>VLOOKUP(A478,Лист2!$A$1:$E$505, 4, 0)</f>
        <v>4857</v>
      </c>
      <c r="G478" s="7">
        <f>VLOOKUP(A478,Лист2!$A$1:$E$505, 5, 0)</f>
        <v>4456</v>
      </c>
      <c r="H478" s="14">
        <f t="shared" si="35"/>
        <v>6342.625</v>
      </c>
      <c r="I478">
        <f t="shared" si="36"/>
        <v>21</v>
      </c>
      <c r="K478" s="18">
        <f t="shared" si="37"/>
        <v>188776.5</v>
      </c>
      <c r="L478">
        <f t="shared" si="38"/>
        <v>37</v>
      </c>
      <c r="N478" s="19">
        <f t="shared" si="39"/>
        <v>6.4228044747478868E-2</v>
      </c>
    </row>
    <row r="479" spans="1:14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>
        <f>VLOOKUP(A479,Лист2!$A$1:$E$505, 3, 0)</f>
        <v>37</v>
      </c>
      <c r="F479" s="7">
        <f>VLOOKUP(A479,Лист2!$A$1:$E$505, 4, 0)</f>
        <v>4722</v>
      </c>
      <c r="G479" s="7">
        <f>VLOOKUP(A479,Лист2!$A$1:$E$505, 5, 0)</f>
        <v>4352</v>
      </c>
      <c r="H479" s="14">
        <f t="shared" si="35"/>
        <v>5102.0675675675675</v>
      </c>
      <c r="I479">
        <f t="shared" si="36"/>
        <v>23</v>
      </c>
      <c r="K479" s="18">
        <f t="shared" si="37"/>
        <v>188776.5</v>
      </c>
      <c r="L479">
        <f t="shared" si="38"/>
        <v>37</v>
      </c>
      <c r="N479" s="19">
        <f t="shared" si="39"/>
        <v>6.863642833808449E-2</v>
      </c>
    </row>
    <row r="480" spans="1:14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>
        <f>VLOOKUP(A480,Лист2!$A$1:$E$505, 3, 0)</f>
        <v>36</v>
      </c>
      <c r="F480" s="7">
        <f>VLOOKUP(A480,Лист2!$A$1:$E$505, 4, 0)</f>
        <v>4150</v>
      </c>
      <c r="G480" s="7">
        <f>VLOOKUP(A480,Лист2!$A$1:$E$505, 5, 0)</f>
        <v>3838</v>
      </c>
      <c r="H480" s="14">
        <f t="shared" si="35"/>
        <v>4869.25</v>
      </c>
      <c r="I480">
        <f t="shared" si="36"/>
        <v>20</v>
      </c>
      <c r="K480" s="18">
        <f t="shared" si="37"/>
        <v>188776.5</v>
      </c>
      <c r="L480">
        <f t="shared" si="38"/>
        <v>37</v>
      </c>
      <c r="N480" s="19">
        <f t="shared" si="39"/>
        <v>7.3694559704123239E-2</v>
      </c>
    </row>
    <row r="481" spans="1:14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>
        <f>VLOOKUP(A481,Лист2!$A$1:$E$505, 3, 0)</f>
        <v>36</v>
      </c>
      <c r="F481" s="7">
        <f>VLOOKUP(A481,Лист2!$A$1:$E$505, 4, 0)</f>
        <v>4885</v>
      </c>
      <c r="G481" s="7">
        <f>VLOOKUP(A481,Лист2!$A$1:$E$505, 5, 0)</f>
        <v>4502</v>
      </c>
      <c r="H481" s="14">
        <f t="shared" si="35"/>
        <v>5611.083333333333</v>
      </c>
      <c r="I481">
        <f t="shared" si="36"/>
        <v>21</v>
      </c>
      <c r="K481" s="18">
        <f t="shared" si="37"/>
        <v>188776.5</v>
      </c>
      <c r="L481">
        <f t="shared" si="38"/>
        <v>37</v>
      </c>
      <c r="N481" s="19">
        <f t="shared" si="39"/>
        <v>7.9557515802329754E-2</v>
      </c>
    </row>
    <row r="482" spans="1:14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>
        <f>VLOOKUP(A482,Лист2!$A$1:$E$505, 3, 0)</f>
        <v>36</v>
      </c>
      <c r="F482" s="7">
        <f>VLOOKUP(A482,Лист2!$A$1:$E$505, 4, 0)</f>
        <v>4285</v>
      </c>
      <c r="G482" s="7">
        <f>VLOOKUP(A482,Лист2!$A$1:$E$505, 5, 0)</f>
        <v>3950</v>
      </c>
      <c r="H482" s="14">
        <f t="shared" si="35"/>
        <v>5498.5</v>
      </c>
      <c r="I482">
        <f t="shared" si="36"/>
        <v>20</v>
      </c>
      <c r="K482" s="18">
        <f t="shared" si="37"/>
        <v>188776.5</v>
      </c>
      <c r="L482">
        <f t="shared" si="38"/>
        <v>37</v>
      </c>
      <c r="N482" s="19">
        <f t="shared" si="39"/>
        <v>8.6433989269496081E-2</v>
      </c>
    </row>
    <row r="483" spans="1:14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>
        <f>VLOOKUP(A483,Лист2!$A$1:$E$505, 3, 0)</f>
        <v>36</v>
      </c>
      <c r="F483" s="7">
        <f>VLOOKUP(A483,Лист2!$A$1:$E$505, 4, 0)</f>
        <v>4862</v>
      </c>
      <c r="G483" s="7">
        <f>VLOOKUP(A483,Лист2!$A$1:$E$505, 5, 0)</f>
        <v>4476</v>
      </c>
      <c r="H483" s="14">
        <f t="shared" si="35"/>
        <v>6413.791666666667</v>
      </c>
      <c r="I483">
        <f t="shared" si="36"/>
        <v>20</v>
      </c>
      <c r="K483" s="18">
        <f t="shared" si="37"/>
        <v>188776.5</v>
      </c>
      <c r="L483">
        <f t="shared" si="38"/>
        <v>37</v>
      </c>
      <c r="N483" s="19">
        <f t="shared" si="39"/>
        <v>9.4611651762724736E-2</v>
      </c>
    </row>
    <row r="484" spans="1:14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>
        <f>VLOOKUP(A484,Лист2!$A$1:$E$505, 3, 0)</f>
        <v>36</v>
      </c>
      <c r="F484" s="7">
        <f>VLOOKUP(A484,Лист2!$A$1:$E$505, 4, 0)</f>
        <v>4951</v>
      </c>
      <c r="G484" s="7">
        <f>VLOOKUP(A484,Лист2!$A$1:$E$505, 5, 0)</f>
        <v>4584</v>
      </c>
      <c r="H484" s="14">
        <f t="shared" si="35"/>
        <v>5653.666666666667</v>
      </c>
      <c r="I484">
        <f t="shared" si="36"/>
        <v>22</v>
      </c>
      <c r="K484" s="18">
        <f t="shared" si="37"/>
        <v>183228</v>
      </c>
      <c r="L484">
        <f t="shared" si="38"/>
        <v>37</v>
      </c>
      <c r="N484" s="19">
        <f t="shared" si="39"/>
        <v>0.10142701277220439</v>
      </c>
    </row>
    <row r="485" spans="1:14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>
        <f>VLOOKUP(A485,Лист2!$A$1:$E$505, 3, 0)</f>
        <v>36</v>
      </c>
      <c r="F485" s="7">
        <f>VLOOKUP(A485,Лист2!$A$1:$E$505, 4, 0)</f>
        <v>4857</v>
      </c>
      <c r="G485" s="7">
        <f>VLOOKUP(A485,Лист2!$A$1:$E$505, 5, 0)</f>
        <v>4456</v>
      </c>
      <c r="H485" s="14">
        <f t="shared" si="35"/>
        <v>5956.333333333333</v>
      </c>
      <c r="I485">
        <f t="shared" si="36"/>
        <v>21</v>
      </c>
      <c r="K485" s="18">
        <f t="shared" si="37"/>
        <v>183228</v>
      </c>
      <c r="L485">
        <f t="shared" si="38"/>
        <v>37</v>
      </c>
      <c r="N485" s="19">
        <f t="shared" si="39"/>
        <v>0.11287565307868731</v>
      </c>
    </row>
    <row r="486" spans="1:14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>
        <f>VLOOKUP(A486,Лист2!$A$1:$E$505, 3, 0)</f>
        <v>37</v>
      </c>
      <c r="F486" s="7">
        <f>VLOOKUP(A486,Лист2!$A$1:$E$505, 4, 0)</f>
        <v>4722</v>
      </c>
      <c r="G486" s="7">
        <f>VLOOKUP(A486,Лист2!$A$1:$E$505, 5, 0)</f>
        <v>4352</v>
      </c>
      <c r="H486" s="14">
        <f t="shared" si="35"/>
        <v>4952.1081081081084</v>
      </c>
      <c r="I486">
        <f t="shared" si="36"/>
        <v>23</v>
      </c>
      <c r="K486" s="18">
        <f t="shared" si="37"/>
        <v>183228</v>
      </c>
      <c r="L486">
        <f t="shared" si="38"/>
        <v>37</v>
      </c>
      <c r="N486" s="19">
        <f t="shared" si="39"/>
        <v>0.1272376904888389</v>
      </c>
    </row>
    <row r="487" spans="1:14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>
        <f>VLOOKUP(A487,Лист2!$A$1:$E$505, 3, 0)</f>
        <v>36</v>
      </c>
      <c r="F487" s="7">
        <f>VLOOKUP(A487,Лист2!$A$1:$E$505, 4, 0)</f>
        <v>4150</v>
      </c>
      <c r="G487" s="7">
        <f>VLOOKUP(A487,Лист2!$A$1:$E$505, 5, 0)</f>
        <v>3838</v>
      </c>
      <c r="H487" s="14">
        <f t="shared" si="35"/>
        <v>4637.458333333333</v>
      </c>
      <c r="I487">
        <f t="shared" si="36"/>
        <v>20</v>
      </c>
      <c r="K487" s="18">
        <f t="shared" si="37"/>
        <v>183228</v>
      </c>
      <c r="L487">
        <f t="shared" si="38"/>
        <v>37</v>
      </c>
      <c r="N487" s="19">
        <f t="shared" si="39"/>
        <v>0.14578733419423831</v>
      </c>
    </row>
    <row r="488" spans="1:14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>
        <f>VLOOKUP(A488,Лист2!$A$1:$E$505, 3, 0)</f>
        <v>37</v>
      </c>
      <c r="F488" s="7">
        <f>VLOOKUP(A488,Лист2!$A$1:$E$505, 4, 0)</f>
        <v>5672</v>
      </c>
      <c r="G488" s="7">
        <f>VLOOKUP(A488,Лист2!$A$1:$E$505, 5, 0)</f>
        <v>5198</v>
      </c>
      <c r="H488" s="14">
        <f t="shared" si="35"/>
        <v>6273.0405405405409</v>
      </c>
      <c r="I488">
        <f t="shared" si="36"/>
        <v>22</v>
      </c>
      <c r="K488" s="18">
        <f t="shared" si="37"/>
        <v>188776.5</v>
      </c>
      <c r="L488">
        <f t="shared" si="38"/>
        <v>37</v>
      </c>
      <c r="N488" s="19">
        <f t="shared" si="39"/>
        <v>0.17583684259060031</v>
      </c>
    </row>
    <row r="489" spans="1:14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>
        <f>VLOOKUP(A489,Лист2!$A$1:$E$505, 3, 0)</f>
        <v>36</v>
      </c>
      <c r="F489" s="7">
        <f>VLOOKUP(A489,Лист2!$A$1:$E$505, 4, 0)</f>
        <v>4885</v>
      </c>
      <c r="G489" s="7">
        <f>VLOOKUP(A489,Лист2!$A$1:$E$505, 5, 0)</f>
        <v>4502</v>
      </c>
      <c r="H489" s="14">
        <f t="shared" si="35"/>
        <v>5460</v>
      </c>
      <c r="I489">
        <f t="shared" si="36"/>
        <v>21</v>
      </c>
      <c r="K489" s="18">
        <f t="shared" si="37"/>
        <v>183228</v>
      </c>
      <c r="L489">
        <f t="shared" si="38"/>
        <v>37</v>
      </c>
      <c r="N489" s="19">
        <f t="shared" si="39"/>
        <v>0.20708116126297946</v>
      </c>
    </row>
    <row r="490" spans="1:14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>
        <f>VLOOKUP(A490,Лист2!$A$1:$E$505, 3, 0)</f>
        <v>36</v>
      </c>
      <c r="F490" s="7">
        <f>VLOOKUP(A490,Лист2!$A$1:$E$505, 4, 0)</f>
        <v>4285</v>
      </c>
      <c r="G490" s="7">
        <f>VLOOKUP(A490,Лист2!$A$1:$E$505, 5, 0)</f>
        <v>3950</v>
      </c>
      <c r="H490" s="14">
        <f t="shared" si="35"/>
        <v>5180.458333333333</v>
      </c>
      <c r="I490">
        <f t="shared" si="36"/>
        <v>20</v>
      </c>
      <c r="K490" s="18">
        <f t="shared" si="37"/>
        <v>183228</v>
      </c>
      <c r="L490">
        <f t="shared" si="38"/>
        <v>37</v>
      </c>
      <c r="N490" s="19">
        <f t="shared" si="39"/>
        <v>0.26116312432786071</v>
      </c>
    </row>
    <row r="491" spans="1:14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>
        <f>VLOOKUP(A491,Лист2!$A$1:$E$505, 3, 0)</f>
        <v>36</v>
      </c>
      <c r="F491" s="7">
        <f>VLOOKUP(A491,Лист2!$A$1:$E$505, 4, 0)</f>
        <v>4862</v>
      </c>
      <c r="G491" s="7">
        <f>VLOOKUP(A491,Лист2!$A$1:$E$505, 5, 0)</f>
        <v>4476</v>
      </c>
      <c r="H491" s="14">
        <f t="shared" si="35"/>
        <v>6104.791666666667</v>
      </c>
      <c r="I491">
        <f t="shared" si="36"/>
        <v>20</v>
      </c>
      <c r="K491" s="18">
        <f t="shared" si="37"/>
        <v>183228</v>
      </c>
      <c r="L491">
        <f t="shared" si="38"/>
        <v>37</v>
      </c>
      <c r="N491" s="19">
        <f t="shared" si="39"/>
        <v>0.35347873519479356</v>
      </c>
    </row>
    <row r="492" spans="1:14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>
        <f>VLOOKUP(A492,Лист2!$A$1:$E$505, 3, 0)</f>
        <v>37</v>
      </c>
      <c r="F492" s="7">
        <f>VLOOKUP(A492,Лист2!$A$1:$E$505, 4, 0)</f>
        <v>5672</v>
      </c>
      <c r="G492" s="7">
        <f>VLOOKUP(A492,Лист2!$A$1:$E$505, 5, 0)</f>
        <v>5198</v>
      </c>
      <c r="H492" s="14">
        <f t="shared" si="35"/>
        <v>6120.9729729729734</v>
      </c>
      <c r="I492">
        <f t="shared" si="36"/>
        <v>22</v>
      </c>
      <c r="K492" s="18">
        <f t="shared" si="37"/>
        <v>183228</v>
      </c>
      <c r="L492">
        <f t="shared" si="38"/>
        <v>37</v>
      </c>
      <c r="N492" s="19">
        <f t="shared" si="39"/>
        <v>0.5467395342383593</v>
      </c>
    </row>
    <row r="493" spans="1:14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>
        <f>VLOOKUP(A493,Лист2!$A$1:$E$505, 3, 0)</f>
        <v>36</v>
      </c>
      <c r="F493" s="7">
        <f>VLOOKUP(A493,Лист2!$A$1:$E$505, 4, 0)</f>
        <v>4951</v>
      </c>
      <c r="G493" s="7">
        <f>VLOOKUP(A493,Лист2!$A$1:$E$505, 5, 0)</f>
        <v>4584</v>
      </c>
      <c r="H493" s="14">
        <f t="shared" si="35"/>
        <v>232.29166666666666</v>
      </c>
      <c r="I493">
        <f t="shared" si="36"/>
        <v>22</v>
      </c>
      <c r="K493" s="18">
        <f t="shared" si="37"/>
        <v>9474</v>
      </c>
      <c r="L493">
        <f t="shared" si="38"/>
        <v>37</v>
      </c>
      <c r="N493" s="19">
        <f t="shared" si="39"/>
        <v>6.236977495136619E-2</v>
      </c>
    </row>
    <row r="494" spans="1:14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>
        <f>VLOOKUP(A494,Лист2!$A$1:$E$505, 3, 0)</f>
        <v>36</v>
      </c>
      <c r="F494" s="7">
        <f>VLOOKUP(A494,Лист2!$A$1:$E$505, 4, 0)</f>
        <v>4857</v>
      </c>
      <c r="G494" s="7">
        <f>VLOOKUP(A494,Лист2!$A$1:$E$505, 5, 0)</f>
        <v>4456</v>
      </c>
      <c r="H494" s="14">
        <f t="shared" si="35"/>
        <v>472.45833333333331</v>
      </c>
      <c r="I494">
        <f t="shared" si="36"/>
        <v>21</v>
      </c>
      <c r="K494" s="18">
        <f t="shared" si="37"/>
        <v>14238</v>
      </c>
      <c r="L494">
        <f t="shared" si="38"/>
        <v>37</v>
      </c>
      <c r="N494" s="19">
        <f t="shared" si="39"/>
        <v>9.9967351581341957E-2</v>
      </c>
    </row>
    <row r="495" spans="1:14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>
        <f>VLOOKUP(A495,Лист2!$A$1:$E$505, 3, 0)</f>
        <v>37</v>
      </c>
      <c r="F495" s="7">
        <f>VLOOKUP(A495,Лист2!$A$1:$E$505, 4, 0)</f>
        <v>4722</v>
      </c>
      <c r="G495" s="7">
        <f>VLOOKUP(A495,Лист2!$A$1:$E$505, 5, 0)</f>
        <v>4352</v>
      </c>
      <c r="H495" s="14">
        <f t="shared" si="35"/>
        <v>139.62162162162161</v>
      </c>
      <c r="I495">
        <f t="shared" si="36"/>
        <v>23</v>
      </c>
      <c r="K495" s="18">
        <f t="shared" si="37"/>
        <v>5166</v>
      </c>
      <c r="L495">
        <f t="shared" si="38"/>
        <v>37</v>
      </c>
      <c r="N495" s="19">
        <f t="shared" si="39"/>
        <v>4.0300026913490682E-2</v>
      </c>
    </row>
    <row r="496" spans="1:14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>
        <f>VLOOKUP(A496,Лист2!$A$1:$E$505, 3, 0)</f>
        <v>36</v>
      </c>
      <c r="F496" s="7">
        <f>VLOOKUP(A496,Лист2!$A$1:$E$505, 4, 0)</f>
        <v>4150</v>
      </c>
      <c r="G496" s="7">
        <f>VLOOKUP(A496,Лист2!$A$1:$E$505, 5, 0)</f>
        <v>3838</v>
      </c>
      <c r="H496" s="14">
        <f t="shared" si="35"/>
        <v>303.91666666666669</v>
      </c>
      <c r="I496">
        <f t="shared" si="36"/>
        <v>20</v>
      </c>
      <c r="K496" s="18">
        <f t="shared" si="37"/>
        <v>14238</v>
      </c>
      <c r="L496">
        <f t="shared" si="38"/>
        <v>37</v>
      </c>
      <c r="N496" s="19">
        <f t="shared" si="39"/>
        <v>0.11573492653782845</v>
      </c>
    </row>
    <row r="497" spans="1:14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>
        <f>VLOOKUP(A497,Лист2!$A$1:$E$505, 3, 0)</f>
        <v>36</v>
      </c>
      <c r="F497" s="7">
        <f>VLOOKUP(A497,Лист2!$A$1:$E$505, 4, 0)</f>
        <v>4885</v>
      </c>
      <c r="G497" s="7">
        <f>VLOOKUP(A497,Лист2!$A$1:$E$505, 5, 0)</f>
        <v>4502</v>
      </c>
      <c r="H497" s="14">
        <f t="shared" si="35"/>
        <v>402.70833333333331</v>
      </c>
      <c r="I497">
        <f t="shared" si="36"/>
        <v>21</v>
      </c>
      <c r="K497" s="18">
        <f t="shared" si="37"/>
        <v>14238</v>
      </c>
      <c r="L497">
        <f t="shared" si="38"/>
        <v>37</v>
      </c>
      <c r="N497" s="19">
        <f t="shared" si="39"/>
        <v>0.13088261654923267</v>
      </c>
    </row>
    <row r="498" spans="1:14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>
        <f>VLOOKUP(A498,Лист2!$A$1:$E$505, 3, 0)</f>
        <v>36</v>
      </c>
      <c r="F498" s="7">
        <f>VLOOKUP(A498,Лист2!$A$1:$E$505, 4, 0)</f>
        <v>4285</v>
      </c>
      <c r="G498" s="7">
        <f>VLOOKUP(A498,Лист2!$A$1:$E$505, 5, 0)</f>
        <v>3950</v>
      </c>
      <c r="H498" s="14">
        <f t="shared" si="35"/>
        <v>383.625</v>
      </c>
      <c r="I498">
        <f t="shared" si="36"/>
        <v>20</v>
      </c>
      <c r="K498" s="18">
        <f t="shared" si="37"/>
        <v>14238</v>
      </c>
      <c r="L498">
        <f t="shared" si="38"/>
        <v>37</v>
      </c>
      <c r="N498" s="19">
        <f t="shared" si="39"/>
        <v>0.15059256556297695</v>
      </c>
    </row>
    <row r="499" spans="1:14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>
        <f>VLOOKUP(A499,Лист2!$A$1:$E$505, 3, 0)</f>
        <v>36</v>
      </c>
      <c r="F499" s="7">
        <f>VLOOKUP(A499,Лист2!$A$1:$E$505, 4, 0)</f>
        <v>4862</v>
      </c>
      <c r="G499" s="7">
        <f>VLOOKUP(A499,Лист2!$A$1:$E$505, 5, 0)</f>
        <v>4476</v>
      </c>
      <c r="H499" s="14">
        <f t="shared" si="35"/>
        <v>382</v>
      </c>
      <c r="I499">
        <f t="shared" si="36"/>
        <v>20</v>
      </c>
      <c r="K499" s="18">
        <f t="shared" si="37"/>
        <v>14238</v>
      </c>
      <c r="L499">
        <f t="shared" si="38"/>
        <v>37</v>
      </c>
      <c r="N499" s="19">
        <f t="shared" si="39"/>
        <v>0.17729132034591605</v>
      </c>
    </row>
    <row r="500" spans="1:14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>
        <f>VLOOKUP(A500,Лист2!$A$1:$E$505, 3, 0)</f>
        <v>36</v>
      </c>
      <c r="F500" s="7">
        <f>VLOOKUP(A500,Лист2!$A$1:$E$505, 4, 0)</f>
        <v>4951</v>
      </c>
      <c r="G500" s="7">
        <f>VLOOKUP(A500,Лист2!$A$1:$E$505, 5, 0)</f>
        <v>4584</v>
      </c>
      <c r="H500" s="14">
        <f t="shared" si="35"/>
        <v>424.33333333333331</v>
      </c>
      <c r="I500">
        <f t="shared" si="36"/>
        <v>22</v>
      </c>
      <c r="K500" s="18">
        <f t="shared" si="37"/>
        <v>14238</v>
      </c>
      <c r="L500">
        <f t="shared" si="38"/>
        <v>37</v>
      </c>
      <c r="N500" s="19">
        <f t="shared" si="39"/>
        <v>0.21549708266170228</v>
      </c>
    </row>
    <row r="501" spans="1:14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>
        <f>VLOOKUP(A501,Лист2!$A$1:$E$505, 3, 0)</f>
        <v>37</v>
      </c>
      <c r="F501" s="7">
        <f>VLOOKUP(A501,Лист2!$A$1:$E$505, 4, 0)</f>
        <v>4722</v>
      </c>
      <c r="G501" s="7">
        <f>VLOOKUP(A501,Лист2!$A$1:$E$505, 5, 0)</f>
        <v>4352</v>
      </c>
      <c r="H501" s="14">
        <f t="shared" si="35"/>
        <v>119.14864864864865</v>
      </c>
      <c r="I501">
        <f t="shared" si="36"/>
        <v>23</v>
      </c>
      <c r="K501" s="18">
        <f t="shared" si="37"/>
        <v>4408.5</v>
      </c>
      <c r="L501">
        <f t="shared" si="38"/>
        <v>37</v>
      </c>
      <c r="N501" s="19">
        <f t="shared" si="39"/>
        <v>8.5052814353928516E-2</v>
      </c>
    </row>
    <row r="502" spans="1:14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>
        <f>VLOOKUP(A502,Лист2!$A$1:$E$505, 3, 0)</f>
        <v>37</v>
      </c>
      <c r="F502" s="7">
        <f>VLOOKUP(A502,Лист2!$A$1:$E$505, 4, 0)</f>
        <v>5672</v>
      </c>
      <c r="G502" s="7">
        <f>VLOOKUP(A502,Лист2!$A$1:$E$505, 5, 0)</f>
        <v>5198</v>
      </c>
      <c r="H502" s="14">
        <f t="shared" si="35"/>
        <v>268.29729729729729</v>
      </c>
      <c r="I502">
        <f t="shared" si="36"/>
        <v>22</v>
      </c>
      <c r="K502" s="18">
        <f t="shared" si="37"/>
        <v>9474</v>
      </c>
      <c r="L502">
        <f t="shared" si="38"/>
        <v>37</v>
      </c>
      <c r="N502" s="19">
        <f t="shared" si="39"/>
        <v>0.19977226720647773</v>
      </c>
    </row>
    <row r="503" spans="1:14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>
        <f>VLOOKUP(A503,Лист2!$A$1:$E$505, 3, 0)</f>
        <v>37</v>
      </c>
      <c r="F503" s="7">
        <f>VLOOKUP(A503,Лист2!$A$1:$E$505, 4, 0)</f>
        <v>4722</v>
      </c>
      <c r="G503" s="7">
        <f>VLOOKUP(A503,Лист2!$A$1:$E$505, 5, 0)</f>
        <v>4352</v>
      </c>
      <c r="H503" s="14">
        <f t="shared" si="35"/>
        <v>256.05405405405406</v>
      </c>
      <c r="I503">
        <f t="shared" si="36"/>
        <v>23</v>
      </c>
      <c r="K503" s="18">
        <f t="shared" si="37"/>
        <v>9474</v>
      </c>
      <c r="L503">
        <f t="shared" si="38"/>
        <v>37</v>
      </c>
      <c r="N503" s="19">
        <f t="shared" si="39"/>
        <v>0.24964426877470355</v>
      </c>
    </row>
    <row r="504" spans="1:14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>
        <f>VLOOKUP(A504,Лист2!$A$1:$E$505, 3, 0)</f>
        <v>37</v>
      </c>
      <c r="F504" s="7">
        <f>VLOOKUP(A504,Лист2!$A$1:$E$505, 4, 0)</f>
        <v>5672</v>
      </c>
      <c r="G504" s="7">
        <f>VLOOKUP(A504,Лист2!$A$1:$E$505, 5, 0)</f>
        <v>5198</v>
      </c>
      <c r="H504" s="14">
        <f t="shared" si="35"/>
        <v>456.16216216216219</v>
      </c>
      <c r="I504">
        <f t="shared" si="36"/>
        <v>22</v>
      </c>
      <c r="K504" s="18">
        <f t="shared" si="37"/>
        <v>14238</v>
      </c>
      <c r="L504">
        <f t="shared" si="38"/>
        <v>37</v>
      </c>
      <c r="N504" s="19">
        <f t="shared" si="39"/>
        <v>0.5</v>
      </c>
    </row>
    <row r="505" spans="1:14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>
        <f>VLOOKUP(A505,Лист2!$A$1:$E$505, 3, 0)</f>
        <v>37</v>
      </c>
      <c r="F505" s="7">
        <f>VLOOKUP(A505,Лист2!$A$1:$E$505, 4, 0)</f>
        <v>4722</v>
      </c>
      <c r="G505" s="7">
        <f>VLOOKUP(A505,Лист2!$A$1:$E$505, 5, 0)</f>
        <v>4352</v>
      </c>
      <c r="H505" s="14">
        <f t="shared" si="35"/>
        <v>384.81081081081084</v>
      </c>
      <c r="I505">
        <f t="shared" si="36"/>
        <v>23</v>
      </c>
      <c r="K505" s="18">
        <f t="shared" si="37"/>
        <v>14238</v>
      </c>
      <c r="L505">
        <f t="shared" si="38"/>
        <v>37</v>
      </c>
      <c r="N505" s="19">
        <f t="shared" si="39"/>
        <v>1</v>
      </c>
    </row>
    <row r="506" spans="1:14" ht="14.25" customHeight="1" x14ac:dyDescent="0.3"/>
    <row r="507" spans="1:14" ht="14.25" customHeight="1" x14ac:dyDescent="0.3"/>
    <row r="508" spans="1:14" ht="14.25" customHeight="1" x14ac:dyDescent="0.3"/>
    <row r="509" spans="1:14" ht="14.25" customHeight="1" x14ac:dyDescent="0.3"/>
    <row r="510" spans="1:14" ht="14.25" customHeight="1" x14ac:dyDescent="0.3"/>
    <row r="511" spans="1:14" ht="14.25" customHeight="1" x14ac:dyDescent="0.3"/>
    <row r="512" spans="1:14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505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H2" sqref="H2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8621-9B00-4C73-84D1-D8C03286082E}">
  <dimension ref="A3:E100"/>
  <sheetViews>
    <sheetView workbookViewId="0">
      <selection activeCell="A3" sqref="A3"/>
    </sheetView>
  </sheetViews>
  <sheetFormatPr defaultRowHeight="14.4" x14ac:dyDescent="0.3"/>
  <cols>
    <col min="1" max="1" width="39.109375" bestFit="1" customWidth="1"/>
    <col min="2" max="2" width="20.33203125" bestFit="1" customWidth="1"/>
    <col min="3" max="6" width="12" bestFit="1" customWidth="1"/>
    <col min="7" max="7" width="11" bestFit="1" customWidth="1"/>
    <col min="8" max="10" width="12" bestFit="1" customWidth="1"/>
    <col min="11" max="11" width="10.33203125" bestFit="1" customWidth="1"/>
    <col min="12" max="15" width="12" bestFit="1" customWidth="1"/>
    <col min="16" max="16" width="11" bestFit="1" customWidth="1"/>
    <col min="17" max="20" width="12" bestFit="1" customWidth="1"/>
    <col min="21" max="21" width="11" bestFit="1" customWidth="1"/>
    <col min="22" max="25" width="12" bestFit="1" customWidth="1"/>
    <col min="26" max="26" width="11" bestFit="1" customWidth="1"/>
    <col min="27" max="27" width="12" bestFit="1" customWidth="1"/>
    <col min="28" max="28" width="11" bestFit="1" customWidth="1"/>
    <col min="29" max="33" width="12" bestFit="1" customWidth="1"/>
    <col min="34" max="34" width="11" bestFit="1" customWidth="1"/>
    <col min="35" max="37" width="12" bestFit="1" customWidth="1"/>
    <col min="38" max="38" width="11" bestFit="1" customWidth="1"/>
    <col min="39" max="43" width="12" bestFit="1" customWidth="1"/>
    <col min="44" max="44" width="31.88671875" bestFit="1" customWidth="1"/>
    <col min="45" max="45" width="33.33203125" bestFit="1" customWidth="1"/>
    <col min="46" max="46" width="34.6640625" bestFit="1" customWidth="1"/>
    <col min="47" max="47" width="32.77734375" bestFit="1" customWidth="1"/>
    <col min="48" max="48" width="31.88671875" bestFit="1" customWidth="1"/>
    <col min="49" max="49" width="33.33203125" bestFit="1" customWidth="1"/>
    <col min="50" max="50" width="34.6640625" bestFit="1" customWidth="1"/>
    <col min="51" max="51" width="32.77734375" bestFit="1" customWidth="1"/>
    <col min="52" max="52" width="31.88671875" bestFit="1" customWidth="1"/>
    <col min="53" max="53" width="33.33203125" bestFit="1" customWidth="1"/>
    <col min="54" max="54" width="34.6640625" bestFit="1" customWidth="1"/>
    <col min="55" max="55" width="32.77734375" bestFit="1" customWidth="1"/>
    <col min="56" max="56" width="31.88671875" bestFit="1" customWidth="1"/>
    <col min="57" max="57" width="33.33203125" bestFit="1" customWidth="1"/>
    <col min="58" max="58" width="34.6640625" bestFit="1" customWidth="1"/>
    <col min="59" max="59" width="32.77734375" bestFit="1" customWidth="1"/>
    <col min="60" max="60" width="31.88671875" bestFit="1" customWidth="1"/>
    <col min="61" max="61" width="33.33203125" bestFit="1" customWidth="1"/>
    <col min="62" max="62" width="34.6640625" bestFit="1" customWidth="1"/>
    <col min="63" max="63" width="32.77734375" bestFit="1" customWidth="1"/>
    <col min="64" max="64" width="31.88671875" bestFit="1" customWidth="1"/>
    <col min="65" max="65" width="33.33203125" bestFit="1" customWidth="1"/>
    <col min="66" max="66" width="34.6640625" bestFit="1" customWidth="1"/>
    <col min="67" max="67" width="32.77734375" bestFit="1" customWidth="1"/>
    <col min="68" max="68" width="31.88671875" bestFit="1" customWidth="1"/>
    <col min="69" max="69" width="33.33203125" bestFit="1" customWidth="1"/>
    <col min="70" max="70" width="34.6640625" bestFit="1" customWidth="1"/>
    <col min="71" max="71" width="32.77734375" bestFit="1" customWidth="1"/>
    <col min="72" max="72" width="31.88671875" bestFit="1" customWidth="1"/>
    <col min="73" max="73" width="33.33203125" bestFit="1" customWidth="1"/>
    <col min="74" max="74" width="39.109375" bestFit="1" customWidth="1"/>
    <col min="75" max="75" width="37.21875" bestFit="1" customWidth="1"/>
    <col min="76" max="76" width="36.33203125" bestFit="1" customWidth="1"/>
    <col min="77" max="77" width="37.88671875" bestFit="1" customWidth="1"/>
  </cols>
  <sheetData>
    <row r="3" spans="1:5" x14ac:dyDescent="0.3">
      <c r="B3" s="15" t="s">
        <v>27</v>
      </c>
    </row>
    <row r="4" spans="1:5" x14ac:dyDescent="0.3">
      <c r="B4" t="s">
        <v>30</v>
      </c>
      <c r="C4" t="s">
        <v>31</v>
      </c>
      <c r="D4" t="s">
        <v>32</v>
      </c>
      <c r="E4" t="s">
        <v>28</v>
      </c>
    </row>
    <row r="6" spans="1:5" x14ac:dyDescent="0.3">
      <c r="A6" s="15" t="s">
        <v>29</v>
      </c>
    </row>
    <row r="7" spans="1:5" x14ac:dyDescent="0.3">
      <c r="A7" s="16" t="s">
        <v>16</v>
      </c>
      <c r="B7" s="13"/>
      <c r="C7" s="13"/>
      <c r="D7" s="13"/>
      <c r="E7" s="13"/>
    </row>
    <row r="8" spans="1:5" x14ac:dyDescent="0.3">
      <c r="A8" s="17" t="s">
        <v>40</v>
      </c>
      <c r="B8" s="13">
        <v>13836</v>
      </c>
      <c r="C8" s="13">
        <v>140907</v>
      </c>
      <c r="D8" s="13">
        <v>4352</v>
      </c>
      <c r="E8" s="13">
        <v>159095</v>
      </c>
    </row>
    <row r="9" spans="1:5" x14ac:dyDescent="0.3">
      <c r="A9" s="17" t="s">
        <v>33</v>
      </c>
      <c r="B9" s="13">
        <v>19562298</v>
      </c>
      <c r="C9" s="13">
        <v>192637539</v>
      </c>
      <c r="D9" s="13">
        <v>5800290</v>
      </c>
      <c r="E9" s="13">
        <v>218000127</v>
      </c>
    </row>
    <row r="10" spans="1:5" x14ac:dyDescent="0.3">
      <c r="A10" s="17" t="s">
        <v>36</v>
      </c>
      <c r="B10" s="13">
        <v>226090.5</v>
      </c>
      <c r="C10" s="13">
        <v>2287054.5</v>
      </c>
      <c r="D10" s="13">
        <v>64740</v>
      </c>
      <c r="E10" s="13">
        <v>2577885</v>
      </c>
    </row>
    <row r="11" spans="1:5" x14ac:dyDescent="0.3">
      <c r="A11" s="17" t="s">
        <v>38</v>
      </c>
      <c r="B11" s="13">
        <v>15003</v>
      </c>
      <c r="C11" s="13">
        <v>153053</v>
      </c>
      <c r="D11" s="13">
        <v>4722</v>
      </c>
      <c r="E11" s="13">
        <v>172778</v>
      </c>
    </row>
    <row r="12" spans="1:5" x14ac:dyDescent="0.3">
      <c r="A12" s="16" t="s">
        <v>11</v>
      </c>
      <c r="B12" s="13"/>
      <c r="C12" s="13"/>
      <c r="D12" s="13"/>
      <c r="E12" s="13"/>
    </row>
    <row r="13" spans="1:5" x14ac:dyDescent="0.3">
      <c r="A13" s="17" t="s">
        <v>40</v>
      </c>
      <c r="B13" s="13">
        <v>13836</v>
      </c>
      <c r="C13" s="13">
        <v>140907</v>
      </c>
      <c r="D13" s="13">
        <v>4352</v>
      </c>
      <c r="E13" s="13">
        <v>159095</v>
      </c>
    </row>
    <row r="14" spans="1:5" x14ac:dyDescent="0.3">
      <c r="A14" s="17" t="s">
        <v>33</v>
      </c>
      <c r="B14" s="13">
        <v>21367870.5</v>
      </c>
      <c r="C14" s="13">
        <v>215211211.5</v>
      </c>
      <c r="D14" s="13">
        <v>6829921.5</v>
      </c>
      <c r="E14" s="13">
        <v>243409003.5</v>
      </c>
    </row>
    <row r="15" spans="1:5" x14ac:dyDescent="0.3">
      <c r="A15" s="17" t="s">
        <v>36</v>
      </c>
      <c r="B15" s="13">
        <v>238918.5</v>
      </c>
      <c r="C15" s="13">
        <v>2499420</v>
      </c>
      <c r="D15" s="13">
        <v>77269.5</v>
      </c>
      <c r="E15" s="13">
        <v>2815608</v>
      </c>
    </row>
    <row r="16" spans="1:5" x14ac:dyDescent="0.3">
      <c r="A16" s="17" t="s">
        <v>38</v>
      </c>
      <c r="B16" s="13">
        <v>15003</v>
      </c>
      <c r="C16" s="13">
        <v>153053</v>
      </c>
      <c r="D16" s="13">
        <v>4722</v>
      </c>
      <c r="E16" s="13">
        <v>172778</v>
      </c>
    </row>
    <row r="17" spans="1:5" x14ac:dyDescent="0.3">
      <c r="A17" s="16" t="s">
        <v>17</v>
      </c>
      <c r="B17" s="13"/>
      <c r="C17" s="13"/>
      <c r="D17" s="13"/>
      <c r="E17" s="13"/>
    </row>
    <row r="18" spans="1:5" x14ac:dyDescent="0.3">
      <c r="A18" s="17" t="s">
        <v>40</v>
      </c>
      <c r="B18" s="13">
        <v>13836</v>
      </c>
      <c r="C18" s="13">
        <v>140907</v>
      </c>
      <c r="D18" s="13">
        <v>4352</v>
      </c>
      <c r="E18" s="13">
        <v>159095</v>
      </c>
    </row>
    <row r="19" spans="1:5" x14ac:dyDescent="0.3">
      <c r="A19" s="17" t="s">
        <v>33</v>
      </c>
      <c r="B19" s="13">
        <v>8344506</v>
      </c>
      <c r="C19" s="13">
        <v>108373080</v>
      </c>
      <c r="D19" s="13">
        <v>3865251</v>
      </c>
      <c r="E19" s="13">
        <v>120582837</v>
      </c>
    </row>
    <row r="20" spans="1:5" x14ac:dyDescent="0.3">
      <c r="A20" s="17" t="s">
        <v>36</v>
      </c>
      <c r="B20" s="13">
        <v>92554.5</v>
      </c>
      <c r="C20" s="13">
        <v>1175004</v>
      </c>
      <c r="D20" s="13">
        <v>40528.5</v>
      </c>
      <c r="E20" s="13">
        <v>1308087</v>
      </c>
    </row>
    <row r="21" spans="1:5" x14ac:dyDescent="0.3">
      <c r="A21" s="17" t="s">
        <v>38</v>
      </c>
      <c r="B21" s="13">
        <v>15003</v>
      </c>
      <c r="C21" s="13">
        <v>153053</v>
      </c>
      <c r="D21" s="13">
        <v>4722</v>
      </c>
      <c r="E21" s="13">
        <v>172778</v>
      </c>
    </row>
    <row r="22" spans="1:5" x14ac:dyDescent="0.3">
      <c r="A22" s="16" t="s">
        <v>10</v>
      </c>
      <c r="B22" s="13"/>
      <c r="C22" s="13"/>
      <c r="D22" s="13"/>
      <c r="E22" s="13"/>
    </row>
    <row r="23" spans="1:5" x14ac:dyDescent="0.3">
      <c r="A23" s="17" t="s">
        <v>40</v>
      </c>
      <c r="B23" s="13">
        <v>13836</v>
      </c>
      <c r="C23" s="13">
        <v>140907</v>
      </c>
      <c r="D23" s="13">
        <v>4352</v>
      </c>
      <c r="E23" s="13">
        <v>159095</v>
      </c>
    </row>
    <row r="24" spans="1:5" x14ac:dyDescent="0.3">
      <c r="A24" s="17" t="s">
        <v>33</v>
      </c>
      <c r="B24" s="13">
        <v>7852264.5</v>
      </c>
      <c r="C24" s="13">
        <v>90876235.5</v>
      </c>
      <c r="D24" s="13">
        <v>2945035.5</v>
      </c>
      <c r="E24" s="13">
        <v>101673535.5</v>
      </c>
    </row>
    <row r="25" spans="1:5" x14ac:dyDescent="0.3">
      <c r="A25" s="17" t="s">
        <v>36</v>
      </c>
      <c r="B25" s="13">
        <v>86704.5</v>
      </c>
      <c r="C25" s="13">
        <v>1011669</v>
      </c>
      <c r="D25" s="13">
        <v>31947</v>
      </c>
      <c r="E25" s="13">
        <v>1130320.5</v>
      </c>
    </row>
    <row r="26" spans="1:5" x14ac:dyDescent="0.3">
      <c r="A26" s="17" t="s">
        <v>38</v>
      </c>
      <c r="B26" s="13">
        <v>15003</v>
      </c>
      <c r="C26" s="13">
        <v>153053</v>
      </c>
      <c r="D26" s="13">
        <v>4722</v>
      </c>
      <c r="E26" s="13">
        <v>172778</v>
      </c>
    </row>
    <row r="27" spans="1:5" x14ac:dyDescent="0.3">
      <c r="A27" s="16" t="s">
        <v>20</v>
      </c>
      <c r="B27" s="13"/>
      <c r="C27" s="13"/>
      <c r="D27" s="13"/>
      <c r="E27" s="13"/>
    </row>
    <row r="28" spans="1:5" x14ac:dyDescent="0.3">
      <c r="A28" s="17" t="s">
        <v>40</v>
      </c>
      <c r="B28" s="13">
        <v>13836</v>
      </c>
      <c r="C28" s="13">
        <v>140907</v>
      </c>
      <c r="D28" s="13">
        <v>4352</v>
      </c>
      <c r="E28" s="13">
        <v>159095</v>
      </c>
    </row>
    <row r="29" spans="1:5" x14ac:dyDescent="0.3">
      <c r="A29" s="17" t="s">
        <v>33</v>
      </c>
      <c r="B29" s="13">
        <v>7198066.5</v>
      </c>
      <c r="C29" s="13">
        <v>76125547.5</v>
      </c>
      <c r="D29" s="13">
        <v>2538967.5</v>
      </c>
      <c r="E29" s="13">
        <v>85862581.5</v>
      </c>
    </row>
    <row r="30" spans="1:5" x14ac:dyDescent="0.3">
      <c r="A30" s="17" t="s">
        <v>36</v>
      </c>
      <c r="B30" s="13">
        <v>78849</v>
      </c>
      <c r="C30" s="13">
        <v>868993.5</v>
      </c>
      <c r="D30" s="13">
        <v>27960</v>
      </c>
      <c r="E30" s="13">
        <v>975802.5</v>
      </c>
    </row>
    <row r="31" spans="1:5" x14ac:dyDescent="0.3">
      <c r="A31" s="17" t="s">
        <v>38</v>
      </c>
      <c r="B31" s="13">
        <v>15003</v>
      </c>
      <c r="C31" s="13">
        <v>153053</v>
      </c>
      <c r="D31" s="13">
        <v>4722</v>
      </c>
      <c r="E31" s="13">
        <v>172778</v>
      </c>
    </row>
    <row r="32" spans="1:5" x14ac:dyDescent="0.3">
      <c r="A32" s="16" t="s">
        <v>22</v>
      </c>
      <c r="B32" s="13"/>
      <c r="C32" s="13"/>
      <c r="D32" s="13"/>
      <c r="E32" s="13"/>
    </row>
    <row r="33" spans="1:5" x14ac:dyDescent="0.3">
      <c r="A33" s="17" t="s">
        <v>40</v>
      </c>
      <c r="B33" s="13">
        <v>13836</v>
      </c>
      <c r="C33" s="13">
        <v>140907</v>
      </c>
      <c r="D33" s="13">
        <v>4352</v>
      </c>
      <c r="E33" s="13">
        <v>159095</v>
      </c>
    </row>
    <row r="34" spans="1:5" x14ac:dyDescent="0.3">
      <c r="A34" s="17" t="s">
        <v>33</v>
      </c>
      <c r="B34" s="13">
        <v>62615115</v>
      </c>
      <c r="C34" s="13">
        <v>656595118.5</v>
      </c>
      <c r="D34" s="13">
        <v>18914194.5</v>
      </c>
      <c r="E34" s="13">
        <v>738124428</v>
      </c>
    </row>
    <row r="35" spans="1:5" x14ac:dyDescent="0.3">
      <c r="A35" s="17" t="s">
        <v>36</v>
      </c>
      <c r="B35" s="13">
        <v>604953</v>
      </c>
      <c r="C35" s="13">
        <v>6519840</v>
      </c>
      <c r="D35" s="13">
        <v>183228</v>
      </c>
      <c r="E35" s="13">
        <v>7308021</v>
      </c>
    </row>
    <row r="36" spans="1:5" x14ac:dyDescent="0.3">
      <c r="A36" s="17" t="s">
        <v>38</v>
      </c>
      <c r="B36" s="13">
        <v>15003</v>
      </c>
      <c r="C36" s="13">
        <v>153053</v>
      </c>
      <c r="D36" s="13">
        <v>4722</v>
      </c>
      <c r="E36" s="13">
        <v>172778</v>
      </c>
    </row>
    <row r="37" spans="1:5" x14ac:dyDescent="0.3">
      <c r="A37" s="16" t="s">
        <v>21</v>
      </c>
      <c r="B37" s="13"/>
      <c r="C37" s="13"/>
      <c r="D37" s="13"/>
      <c r="E37" s="13"/>
    </row>
    <row r="38" spans="1:5" x14ac:dyDescent="0.3">
      <c r="A38" s="17" t="s">
        <v>40</v>
      </c>
      <c r="B38" s="13">
        <v>13836</v>
      </c>
      <c r="C38" s="13">
        <v>140907</v>
      </c>
      <c r="D38" s="13">
        <v>4352</v>
      </c>
      <c r="E38" s="13">
        <v>159095</v>
      </c>
    </row>
    <row r="39" spans="1:5" x14ac:dyDescent="0.3">
      <c r="A39" s="17" t="s">
        <v>33</v>
      </c>
      <c r="B39" s="13">
        <v>65260231.5</v>
      </c>
      <c r="C39" s="13">
        <v>689421349.5</v>
      </c>
      <c r="D39" s="13">
        <v>19465372.5</v>
      </c>
      <c r="E39" s="13">
        <v>774146953.5</v>
      </c>
    </row>
    <row r="40" spans="1:5" x14ac:dyDescent="0.3">
      <c r="A40" s="17" t="s">
        <v>36</v>
      </c>
      <c r="B40" s="13">
        <v>627375</v>
      </c>
      <c r="C40" s="13">
        <v>6806055</v>
      </c>
      <c r="D40" s="13">
        <v>188776.5</v>
      </c>
      <c r="E40" s="13">
        <v>7622206.5</v>
      </c>
    </row>
    <row r="41" spans="1:5" x14ac:dyDescent="0.3">
      <c r="A41" s="17" t="s">
        <v>38</v>
      </c>
      <c r="B41" s="13">
        <v>15003</v>
      </c>
      <c r="C41" s="13">
        <v>153053</v>
      </c>
      <c r="D41" s="13">
        <v>4722</v>
      </c>
      <c r="E41" s="13">
        <v>172778</v>
      </c>
    </row>
    <row r="42" spans="1:5" x14ac:dyDescent="0.3">
      <c r="A42" s="16" t="s">
        <v>13</v>
      </c>
      <c r="B42" s="13"/>
      <c r="C42" s="13"/>
      <c r="D42" s="13"/>
      <c r="E42" s="13"/>
    </row>
    <row r="43" spans="1:5" x14ac:dyDescent="0.3">
      <c r="A43" s="17" t="s">
        <v>40</v>
      </c>
      <c r="B43" s="13">
        <v>13836</v>
      </c>
      <c r="C43" s="13">
        <v>140907</v>
      </c>
      <c r="D43" s="13">
        <v>4352</v>
      </c>
      <c r="E43" s="13">
        <v>159095</v>
      </c>
    </row>
    <row r="44" spans="1:5" x14ac:dyDescent="0.3">
      <c r="A44" s="17" t="s">
        <v>33</v>
      </c>
      <c r="B44" s="13">
        <v>6802069.5</v>
      </c>
      <c r="C44" s="13">
        <v>85776717</v>
      </c>
      <c r="D44" s="13">
        <v>3013512</v>
      </c>
      <c r="E44" s="13">
        <v>95592298.5</v>
      </c>
    </row>
    <row r="45" spans="1:5" x14ac:dyDescent="0.3">
      <c r="A45" s="17" t="s">
        <v>36</v>
      </c>
      <c r="B45" s="13">
        <v>73443</v>
      </c>
      <c r="C45" s="13">
        <v>942444</v>
      </c>
      <c r="D45" s="13">
        <v>32170.5</v>
      </c>
      <c r="E45" s="13">
        <v>1048057.5</v>
      </c>
    </row>
    <row r="46" spans="1:5" x14ac:dyDescent="0.3">
      <c r="A46" s="17" t="s">
        <v>38</v>
      </c>
      <c r="B46" s="13">
        <v>15003</v>
      </c>
      <c r="C46" s="13">
        <v>153053</v>
      </c>
      <c r="D46" s="13">
        <v>4722</v>
      </c>
      <c r="E46" s="13">
        <v>172778</v>
      </c>
    </row>
    <row r="47" spans="1:5" x14ac:dyDescent="0.3">
      <c r="A47" s="16" t="s">
        <v>23</v>
      </c>
      <c r="B47" s="13"/>
      <c r="C47" s="13"/>
      <c r="D47" s="13"/>
      <c r="E47" s="13"/>
    </row>
    <row r="48" spans="1:5" x14ac:dyDescent="0.3">
      <c r="A48" s="17" t="s">
        <v>40</v>
      </c>
      <c r="B48" s="13">
        <v>13836</v>
      </c>
      <c r="C48" s="13">
        <v>140907</v>
      </c>
      <c r="D48" s="13">
        <v>4352</v>
      </c>
      <c r="E48" s="13">
        <v>159095</v>
      </c>
    </row>
    <row r="49" spans="1:5" x14ac:dyDescent="0.3">
      <c r="A49" s="17" t="s">
        <v>33</v>
      </c>
      <c r="B49" s="13">
        <v>2978571</v>
      </c>
      <c r="C49" s="13">
        <v>36762840</v>
      </c>
      <c r="D49" s="13">
        <v>1293219</v>
      </c>
      <c r="E49" s="13">
        <v>41034630</v>
      </c>
    </row>
    <row r="50" spans="1:5" x14ac:dyDescent="0.3">
      <c r="A50" s="17" t="s">
        <v>36</v>
      </c>
      <c r="B50" s="13">
        <v>36768</v>
      </c>
      <c r="C50" s="13">
        <v>443644.5</v>
      </c>
      <c r="D50" s="13">
        <v>14238</v>
      </c>
      <c r="E50" s="13">
        <v>494650.5</v>
      </c>
    </row>
    <row r="51" spans="1:5" x14ac:dyDescent="0.3">
      <c r="A51" s="17" t="s">
        <v>38</v>
      </c>
      <c r="B51" s="13">
        <v>15003</v>
      </c>
      <c r="C51" s="13">
        <v>153053</v>
      </c>
      <c r="D51" s="13">
        <v>4722</v>
      </c>
      <c r="E51" s="13">
        <v>172778</v>
      </c>
    </row>
    <row r="52" spans="1:5" x14ac:dyDescent="0.3">
      <c r="A52" s="16" t="s">
        <v>18</v>
      </c>
      <c r="B52" s="13"/>
      <c r="C52" s="13"/>
      <c r="D52" s="13"/>
      <c r="E52" s="13"/>
    </row>
    <row r="53" spans="1:5" x14ac:dyDescent="0.3">
      <c r="A53" s="17" t="s">
        <v>40</v>
      </c>
      <c r="B53" s="13">
        <v>13836</v>
      </c>
      <c r="C53" s="13">
        <v>140907</v>
      </c>
      <c r="D53" s="13">
        <v>4352</v>
      </c>
      <c r="E53" s="13">
        <v>159095</v>
      </c>
    </row>
    <row r="54" spans="1:5" x14ac:dyDescent="0.3">
      <c r="A54" s="17" t="s">
        <v>33</v>
      </c>
      <c r="B54" s="13">
        <v>3321948</v>
      </c>
      <c r="C54" s="13">
        <v>43954483.5</v>
      </c>
      <c r="D54" s="13">
        <v>1526608.5</v>
      </c>
      <c r="E54" s="13">
        <v>48803040</v>
      </c>
    </row>
    <row r="55" spans="1:5" x14ac:dyDescent="0.3">
      <c r="A55" s="17" t="s">
        <v>36</v>
      </c>
      <c r="B55" s="13">
        <v>39070.5</v>
      </c>
      <c r="C55" s="13">
        <v>506809.5</v>
      </c>
      <c r="D55" s="13">
        <v>16687.5</v>
      </c>
      <c r="E55" s="13">
        <v>562567.5</v>
      </c>
    </row>
    <row r="56" spans="1:5" x14ac:dyDescent="0.3">
      <c r="A56" s="17" t="s">
        <v>38</v>
      </c>
      <c r="B56" s="13">
        <v>15003</v>
      </c>
      <c r="C56" s="13">
        <v>153053</v>
      </c>
      <c r="D56" s="13">
        <v>4722</v>
      </c>
      <c r="E56" s="13">
        <v>172778</v>
      </c>
    </row>
    <row r="57" spans="1:5" x14ac:dyDescent="0.3">
      <c r="A57" s="16" t="s">
        <v>19</v>
      </c>
      <c r="B57" s="13"/>
      <c r="C57" s="13"/>
      <c r="D57" s="13"/>
      <c r="E57" s="13"/>
    </row>
    <row r="58" spans="1:5" x14ac:dyDescent="0.3">
      <c r="A58" s="17" t="s">
        <v>40</v>
      </c>
      <c r="B58" s="13">
        <v>4715</v>
      </c>
      <c r="C58" s="13">
        <v>140907</v>
      </c>
      <c r="D58" s="13">
        <v>4352</v>
      </c>
      <c r="E58" s="13">
        <v>149974</v>
      </c>
    </row>
    <row r="59" spans="1:5" x14ac:dyDescent="0.3">
      <c r="A59" s="17" t="s">
        <v>33</v>
      </c>
      <c r="B59" s="13">
        <v>404691</v>
      </c>
      <c r="C59" s="13">
        <v>32846224.5</v>
      </c>
      <c r="D59" s="13">
        <v>1565632.5</v>
      </c>
      <c r="E59" s="13">
        <v>34816548</v>
      </c>
    </row>
    <row r="60" spans="1:5" x14ac:dyDescent="0.3">
      <c r="A60" s="17" t="s">
        <v>36</v>
      </c>
      <c r="B60" s="13">
        <v>4285.5</v>
      </c>
      <c r="C60" s="13">
        <v>366540</v>
      </c>
      <c r="D60" s="13">
        <v>16476</v>
      </c>
      <c r="E60" s="13">
        <v>387301.5</v>
      </c>
    </row>
    <row r="61" spans="1:5" x14ac:dyDescent="0.3">
      <c r="A61" s="17" t="s">
        <v>38</v>
      </c>
      <c r="B61" s="13">
        <v>5143</v>
      </c>
      <c r="C61" s="13">
        <v>153053</v>
      </c>
      <c r="D61" s="13">
        <v>4722</v>
      </c>
      <c r="E61" s="13">
        <v>162918</v>
      </c>
    </row>
    <row r="62" spans="1:5" x14ac:dyDescent="0.3">
      <c r="A62" s="16" t="s">
        <v>9</v>
      </c>
      <c r="B62" s="13"/>
      <c r="C62" s="13"/>
      <c r="D62" s="13"/>
      <c r="E62" s="13"/>
    </row>
    <row r="63" spans="1:5" x14ac:dyDescent="0.3">
      <c r="A63" s="17" t="s">
        <v>40</v>
      </c>
      <c r="B63" s="13"/>
      <c r="C63" s="13">
        <v>20643</v>
      </c>
      <c r="D63" s="13">
        <v>4352</v>
      </c>
      <c r="E63" s="13">
        <v>24995</v>
      </c>
    </row>
    <row r="64" spans="1:5" x14ac:dyDescent="0.3">
      <c r="A64" s="17" t="s">
        <v>33</v>
      </c>
      <c r="B64" s="13"/>
      <c r="C64" s="13">
        <v>2706253.5</v>
      </c>
      <c r="D64" s="13">
        <v>636345</v>
      </c>
      <c r="E64" s="13">
        <v>3342598.5</v>
      </c>
    </row>
    <row r="65" spans="1:5" x14ac:dyDescent="0.3">
      <c r="A65" s="17" t="s">
        <v>36</v>
      </c>
      <c r="B65" s="13"/>
      <c r="C65" s="13">
        <v>34860</v>
      </c>
      <c r="D65" s="13">
        <v>7816.5</v>
      </c>
      <c r="E65" s="13">
        <v>42676.5</v>
      </c>
    </row>
    <row r="66" spans="1:5" x14ac:dyDescent="0.3">
      <c r="A66" s="17" t="s">
        <v>38</v>
      </c>
      <c r="B66" s="13"/>
      <c r="C66" s="13">
        <v>22372</v>
      </c>
      <c r="D66" s="13">
        <v>4722</v>
      </c>
      <c r="E66" s="13">
        <v>27094</v>
      </c>
    </row>
    <row r="67" spans="1:5" x14ac:dyDescent="0.3">
      <c r="A67" s="16" t="s">
        <v>15</v>
      </c>
      <c r="B67" s="13"/>
      <c r="C67" s="13"/>
      <c r="D67" s="13"/>
      <c r="E67" s="13"/>
    </row>
    <row r="68" spans="1:5" x14ac:dyDescent="0.3">
      <c r="A68" s="17" t="s">
        <v>40</v>
      </c>
      <c r="B68" s="13">
        <v>13836</v>
      </c>
      <c r="C68" s="13">
        <v>140907</v>
      </c>
      <c r="D68" s="13">
        <v>4352</v>
      </c>
      <c r="E68" s="13">
        <v>159095</v>
      </c>
    </row>
    <row r="69" spans="1:5" x14ac:dyDescent="0.3">
      <c r="A69" s="17" t="s">
        <v>33</v>
      </c>
      <c r="B69" s="13">
        <v>124506147</v>
      </c>
      <c r="C69" s="13">
        <v>1218959913.5699999</v>
      </c>
      <c r="D69" s="13">
        <v>37257840.18135</v>
      </c>
      <c r="E69" s="13">
        <v>1380723900.7513499</v>
      </c>
    </row>
    <row r="70" spans="1:5" x14ac:dyDescent="0.3">
      <c r="A70" s="17" t="s">
        <v>36</v>
      </c>
      <c r="B70" s="13">
        <v>1164861</v>
      </c>
      <c r="C70" s="13">
        <v>11662624.5</v>
      </c>
      <c r="D70" s="13">
        <v>349699.5</v>
      </c>
      <c r="E70" s="13">
        <v>13177185</v>
      </c>
    </row>
    <row r="71" spans="1:5" x14ac:dyDescent="0.3">
      <c r="A71" s="17" t="s">
        <v>38</v>
      </c>
      <c r="B71" s="13">
        <v>15003</v>
      </c>
      <c r="C71" s="13">
        <v>153053</v>
      </c>
      <c r="D71" s="13">
        <v>4722</v>
      </c>
      <c r="E71" s="13">
        <v>172778</v>
      </c>
    </row>
    <row r="72" spans="1:5" x14ac:dyDescent="0.3">
      <c r="A72" s="16" t="s">
        <v>14</v>
      </c>
      <c r="B72" s="13"/>
      <c r="C72" s="13"/>
      <c r="D72" s="13"/>
      <c r="E72" s="13"/>
    </row>
    <row r="73" spans="1:5" x14ac:dyDescent="0.3">
      <c r="A73" s="17" t="s">
        <v>40</v>
      </c>
      <c r="B73" s="13">
        <v>13836</v>
      </c>
      <c r="C73" s="13">
        <v>140907</v>
      </c>
      <c r="D73" s="13">
        <v>4352</v>
      </c>
      <c r="E73" s="13">
        <v>159095</v>
      </c>
    </row>
    <row r="74" spans="1:5" x14ac:dyDescent="0.3">
      <c r="A74" s="17" t="s">
        <v>33</v>
      </c>
      <c r="B74" s="13">
        <v>92447199</v>
      </c>
      <c r="C74" s="13">
        <v>915395090.31105006</v>
      </c>
      <c r="D74" s="13">
        <v>27770092.5</v>
      </c>
      <c r="E74" s="13">
        <v>1035612381.8110501</v>
      </c>
    </row>
    <row r="75" spans="1:5" x14ac:dyDescent="0.3">
      <c r="A75" s="17" t="s">
        <v>36</v>
      </c>
      <c r="B75" s="13">
        <v>895192.5</v>
      </c>
      <c r="C75" s="13">
        <v>9058635</v>
      </c>
      <c r="D75" s="13">
        <v>272926.5</v>
      </c>
      <c r="E75" s="13">
        <v>10226754</v>
      </c>
    </row>
    <row r="76" spans="1:5" x14ac:dyDescent="0.3">
      <c r="A76" s="17" t="s">
        <v>38</v>
      </c>
      <c r="B76" s="13">
        <v>15003</v>
      </c>
      <c r="C76" s="13">
        <v>153053</v>
      </c>
      <c r="D76" s="13">
        <v>4722</v>
      </c>
      <c r="E76" s="13">
        <v>172778</v>
      </c>
    </row>
    <row r="77" spans="1:5" x14ac:dyDescent="0.3">
      <c r="A77" s="16" t="s">
        <v>12</v>
      </c>
      <c r="B77" s="13"/>
      <c r="C77" s="13"/>
      <c r="D77" s="13"/>
      <c r="E77" s="13"/>
    </row>
    <row r="78" spans="1:5" x14ac:dyDescent="0.3">
      <c r="A78" s="17" t="s">
        <v>40</v>
      </c>
      <c r="B78" s="13">
        <v>13836</v>
      </c>
      <c r="C78" s="13">
        <v>140907</v>
      </c>
      <c r="D78" s="13">
        <v>4352</v>
      </c>
      <c r="E78" s="13">
        <v>159095</v>
      </c>
    </row>
    <row r="79" spans="1:5" x14ac:dyDescent="0.3">
      <c r="A79" s="17" t="s">
        <v>33</v>
      </c>
      <c r="B79" s="13">
        <v>2384098.5</v>
      </c>
      <c r="C79" s="13">
        <v>29815723.5</v>
      </c>
      <c r="D79" s="13">
        <v>1007742</v>
      </c>
      <c r="E79" s="13">
        <v>33207564</v>
      </c>
    </row>
    <row r="80" spans="1:5" x14ac:dyDescent="0.3">
      <c r="A80" s="17" t="s">
        <v>36</v>
      </c>
      <c r="B80" s="13">
        <v>32106</v>
      </c>
      <c r="C80" s="13">
        <v>368758.5</v>
      </c>
      <c r="D80" s="13">
        <v>11416.5</v>
      </c>
      <c r="E80" s="13">
        <v>412281</v>
      </c>
    </row>
    <row r="81" spans="1:5" x14ac:dyDescent="0.3">
      <c r="A81" s="17" t="s">
        <v>38</v>
      </c>
      <c r="B81" s="13">
        <v>15003</v>
      </c>
      <c r="C81" s="13">
        <v>153053</v>
      </c>
      <c r="D81" s="13">
        <v>4722</v>
      </c>
      <c r="E81" s="13">
        <v>172778</v>
      </c>
    </row>
    <row r="82" spans="1:5" x14ac:dyDescent="0.3">
      <c r="A82" s="16" t="s">
        <v>25</v>
      </c>
      <c r="B82" s="13"/>
      <c r="C82" s="13"/>
      <c r="D82" s="13"/>
      <c r="E82" s="13"/>
    </row>
    <row r="83" spans="1:5" x14ac:dyDescent="0.3">
      <c r="A83" s="17" t="s">
        <v>40</v>
      </c>
      <c r="B83" s="13"/>
      <c r="C83" s="13">
        <v>4848</v>
      </c>
      <c r="D83" s="13">
        <v>4352</v>
      </c>
      <c r="E83" s="13">
        <v>9200</v>
      </c>
    </row>
    <row r="84" spans="1:5" x14ac:dyDescent="0.3">
      <c r="A84" s="17" t="s">
        <v>33</v>
      </c>
      <c r="B84" s="13"/>
      <c r="C84" s="13">
        <v>493893</v>
      </c>
      <c r="D84" s="13">
        <v>389013</v>
      </c>
      <c r="E84" s="13">
        <v>882906</v>
      </c>
    </row>
    <row r="85" spans="1:5" x14ac:dyDescent="0.3">
      <c r="A85" s="17" t="s">
        <v>36</v>
      </c>
      <c r="B85" s="13"/>
      <c r="C85" s="13">
        <v>6409.5</v>
      </c>
      <c r="D85" s="13">
        <v>5166</v>
      </c>
      <c r="E85" s="13">
        <v>11575.5</v>
      </c>
    </row>
    <row r="86" spans="1:5" x14ac:dyDescent="0.3">
      <c r="A86" s="17" t="s">
        <v>38</v>
      </c>
      <c r="B86" s="13"/>
      <c r="C86" s="13">
        <v>5215</v>
      </c>
      <c r="D86" s="13">
        <v>4722</v>
      </c>
      <c r="E86" s="13">
        <v>9937</v>
      </c>
    </row>
    <row r="87" spans="1:5" x14ac:dyDescent="0.3">
      <c r="A87" s="16" t="s">
        <v>24</v>
      </c>
      <c r="B87" s="13"/>
      <c r="C87" s="13"/>
      <c r="D87" s="13"/>
      <c r="E87" s="13"/>
    </row>
    <row r="88" spans="1:5" x14ac:dyDescent="0.3">
      <c r="A88" s="17" t="s">
        <v>40</v>
      </c>
      <c r="B88" s="13"/>
      <c r="C88" s="13">
        <v>29651</v>
      </c>
      <c r="D88" s="13">
        <v>4352</v>
      </c>
      <c r="E88" s="13">
        <v>34003</v>
      </c>
    </row>
    <row r="89" spans="1:5" x14ac:dyDescent="0.3">
      <c r="A89" s="17" t="s">
        <v>33</v>
      </c>
      <c r="B89" s="13"/>
      <c r="C89" s="13">
        <v>4861708.5</v>
      </c>
      <c r="D89" s="13">
        <v>802447.5</v>
      </c>
      <c r="E89" s="13">
        <v>5664156</v>
      </c>
    </row>
    <row r="90" spans="1:5" x14ac:dyDescent="0.3">
      <c r="A90" s="17" t="s">
        <v>36</v>
      </c>
      <c r="B90" s="13"/>
      <c r="C90" s="13">
        <v>58791</v>
      </c>
      <c r="D90" s="13">
        <v>9474</v>
      </c>
      <c r="E90" s="13">
        <v>68265</v>
      </c>
    </row>
    <row r="91" spans="1:5" x14ac:dyDescent="0.3">
      <c r="A91" s="17" t="s">
        <v>38</v>
      </c>
      <c r="B91" s="13"/>
      <c r="C91" s="13">
        <v>32093</v>
      </c>
      <c r="D91" s="13">
        <v>4722</v>
      </c>
      <c r="E91" s="13">
        <v>36815</v>
      </c>
    </row>
    <row r="92" spans="1:5" x14ac:dyDescent="0.3">
      <c r="A92" s="16" t="s">
        <v>26</v>
      </c>
      <c r="B92" s="13"/>
      <c r="C92" s="13"/>
      <c r="D92" s="13"/>
      <c r="E92" s="13"/>
    </row>
    <row r="93" spans="1:5" x14ac:dyDescent="0.3">
      <c r="A93" s="17" t="s">
        <v>40</v>
      </c>
      <c r="B93" s="13"/>
      <c r="C93" s="13">
        <v>4848</v>
      </c>
      <c r="D93" s="13">
        <v>4352</v>
      </c>
      <c r="E93" s="13">
        <v>9200</v>
      </c>
    </row>
    <row r="94" spans="1:5" x14ac:dyDescent="0.3">
      <c r="A94" s="17" t="s">
        <v>33</v>
      </c>
      <c r="B94" s="13"/>
      <c r="C94" s="13">
        <v>468835.5</v>
      </c>
      <c r="D94" s="13">
        <v>410892</v>
      </c>
      <c r="E94" s="13">
        <v>879727.5</v>
      </c>
    </row>
    <row r="95" spans="1:5" x14ac:dyDescent="0.3">
      <c r="A95" s="17" t="s">
        <v>36</v>
      </c>
      <c r="B95" s="13"/>
      <c r="C95" s="13">
        <v>5127</v>
      </c>
      <c r="D95" s="13">
        <v>4408.5</v>
      </c>
      <c r="E95" s="13">
        <v>9535.5</v>
      </c>
    </row>
    <row r="96" spans="1:5" x14ac:dyDescent="0.3">
      <c r="A96" s="17" t="s">
        <v>38</v>
      </c>
      <c r="B96" s="13"/>
      <c r="C96" s="13">
        <v>5215</v>
      </c>
      <c r="D96" s="13">
        <v>4722</v>
      </c>
      <c r="E96" s="13">
        <v>9937</v>
      </c>
    </row>
    <row r="97" spans="1:5" x14ac:dyDescent="0.3">
      <c r="A97" s="16" t="s">
        <v>39</v>
      </c>
      <c r="B97" s="13">
        <v>184583</v>
      </c>
      <c r="C97" s="13">
        <v>2032688</v>
      </c>
      <c r="D97" s="13">
        <v>78336</v>
      </c>
      <c r="E97" s="13">
        <v>2295607</v>
      </c>
    </row>
    <row r="98" spans="1:5" x14ac:dyDescent="0.3">
      <c r="A98" s="16" t="s">
        <v>34</v>
      </c>
      <c r="B98" s="13">
        <v>425045076</v>
      </c>
      <c r="C98" s="13">
        <v>4401281764.3810501</v>
      </c>
      <c r="D98" s="13">
        <v>136032376.68134999</v>
      </c>
      <c r="E98" s="13">
        <v>4962359217.0623999</v>
      </c>
    </row>
    <row r="99" spans="1:5" x14ac:dyDescent="0.3">
      <c r="A99" s="16" t="s">
        <v>35</v>
      </c>
      <c r="B99" s="13">
        <v>4201171.5</v>
      </c>
      <c r="C99" s="13">
        <v>44622679.5</v>
      </c>
      <c r="D99" s="13">
        <v>1354929</v>
      </c>
      <c r="E99" s="13">
        <v>50178780</v>
      </c>
    </row>
    <row r="100" spans="1:5" x14ac:dyDescent="0.3">
      <c r="A100" s="16" t="s">
        <v>37</v>
      </c>
      <c r="B100" s="13">
        <v>200182</v>
      </c>
      <c r="C100" s="13">
        <v>2207637</v>
      </c>
      <c r="D100" s="13">
        <v>84996</v>
      </c>
      <c r="E100" s="13">
        <v>2492815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FCA7-1408-46FD-94EE-1C86E13C74BC}">
  <dimension ref="A3:C22"/>
  <sheetViews>
    <sheetView workbookViewId="0">
      <selection activeCell="C3" sqref="C3"/>
    </sheetView>
  </sheetViews>
  <sheetFormatPr defaultRowHeight="14.4" x14ac:dyDescent="0.3"/>
  <cols>
    <col min="1" max="1" width="21" bestFit="1" customWidth="1"/>
    <col min="2" max="2" width="32.77734375" bestFit="1" customWidth="1"/>
    <col min="3" max="3" width="36.6640625" bestFit="1" customWidth="1"/>
  </cols>
  <sheetData>
    <row r="3" spans="1:3" x14ac:dyDescent="0.3">
      <c r="A3" s="15" t="s">
        <v>29</v>
      </c>
      <c r="B3" t="s">
        <v>33</v>
      </c>
      <c r="C3" t="s">
        <v>46</v>
      </c>
    </row>
    <row r="4" spans="1:3" x14ac:dyDescent="0.3">
      <c r="A4" s="16" t="s">
        <v>16</v>
      </c>
      <c r="B4" s="13">
        <v>218000127</v>
      </c>
      <c r="C4" s="14">
        <v>71305.905405405414</v>
      </c>
    </row>
    <row r="5" spans="1:3" x14ac:dyDescent="0.3">
      <c r="A5" s="16" t="s">
        <v>11</v>
      </c>
      <c r="B5" s="13">
        <v>243409003.5</v>
      </c>
      <c r="C5" s="14">
        <v>77880.826576576583</v>
      </c>
    </row>
    <row r="6" spans="1:3" x14ac:dyDescent="0.3">
      <c r="A6" s="16" t="s">
        <v>17</v>
      </c>
      <c r="B6" s="13">
        <v>120582837</v>
      </c>
      <c r="C6" s="14">
        <v>36172.649774774771</v>
      </c>
    </row>
    <row r="7" spans="1:3" x14ac:dyDescent="0.3">
      <c r="A7" s="16" t="s">
        <v>10</v>
      </c>
      <c r="B7" s="13">
        <v>101673535.5</v>
      </c>
      <c r="C7" s="14">
        <v>31263.136261261261</v>
      </c>
    </row>
    <row r="8" spans="1:3" x14ac:dyDescent="0.3">
      <c r="A8" s="16" t="s">
        <v>20</v>
      </c>
      <c r="B8" s="13">
        <v>85862581.5</v>
      </c>
      <c r="C8" s="14">
        <v>26989.263513513517</v>
      </c>
    </row>
    <row r="9" spans="1:3" x14ac:dyDescent="0.3">
      <c r="A9" s="16" t="s">
        <v>22</v>
      </c>
      <c r="B9" s="13">
        <v>738124428</v>
      </c>
      <c r="C9" s="14">
        <v>202210.16441441444</v>
      </c>
    </row>
    <row r="10" spans="1:3" x14ac:dyDescent="0.3">
      <c r="A10" s="16" t="s">
        <v>21</v>
      </c>
      <c r="B10" s="13">
        <v>774146953.5</v>
      </c>
      <c r="C10" s="14">
        <v>210915.40315315317</v>
      </c>
    </row>
    <row r="11" spans="1:3" x14ac:dyDescent="0.3">
      <c r="A11" s="16" t="s">
        <v>13</v>
      </c>
      <c r="B11" s="13">
        <v>95592298.5</v>
      </c>
      <c r="C11" s="14">
        <v>28983.791666666664</v>
      </c>
    </row>
    <row r="12" spans="1:3" x14ac:dyDescent="0.3">
      <c r="A12" s="16" t="s">
        <v>23</v>
      </c>
      <c r="B12" s="13">
        <v>41034630</v>
      </c>
      <c r="C12" s="14">
        <v>13677.510135135137</v>
      </c>
    </row>
    <row r="13" spans="1:3" x14ac:dyDescent="0.3">
      <c r="A13" s="16" t="s">
        <v>18</v>
      </c>
      <c r="B13" s="13">
        <v>48803040</v>
      </c>
      <c r="C13" s="14">
        <v>15553.470720720719</v>
      </c>
    </row>
    <row r="14" spans="1:3" x14ac:dyDescent="0.3">
      <c r="A14" s="16" t="s">
        <v>19</v>
      </c>
      <c r="B14" s="13">
        <v>34816548</v>
      </c>
      <c r="C14" s="14">
        <v>10698.204954954954</v>
      </c>
    </row>
    <row r="15" spans="1:3" x14ac:dyDescent="0.3">
      <c r="A15" s="16" t="s">
        <v>9</v>
      </c>
      <c r="B15" s="13">
        <v>3342598.5</v>
      </c>
      <c r="C15" s="14">
        <v>1153.418918918919</v>
      </c>
    </row>
    <row r="16" spans="1:3" x14ac:dyDescent="0.3">
      <c r="A16" s="16" t="s">
        <v>15</v>
      </c>
      <c r="B16" s="13">
        <v>1380723900.7513499</v>
      </c>
      <c r="C16" s="14">
        <v>364477.65765765763</v>
      </c>
    </row>
    <row r="17" spans="1:3" x14ac:dyDescent="0.3">
      <c r="A17" s="16" t="s">
        <v>14</v>
      </c>
      <c r="B17" s="13">
        <v>1035612381.8110501</v>
      </c>
      <c r="C17" s="14">
        <v>282850.07094594603</v>
      </c>
    </row>
    <row r="18" spans="1:3" x14ac:dyDescent="0.3">
      <c r="A18" s="16" t="s">
        <v>12</v>
      </c>
      <c r="B18" s="13">
        <v>33207564</v>
      </c>
      <c r="C18" s="14">
        <v>11402.15202702703</v>
      </c>
    </row>
    <row r="19" spans="1:3" x14ac:dyDescent="0.3">
      <c r="A19" s="16" t="s">
        <v>25</v>
      </c>
      <c r="B19" s="13">
        <v>882906</v>
      </c>
      <c r="C19" s="14">
        <v>312.85135135135135</v>
      </c>
    </row>
    <row r="20" spans="1:3" x14ac:dyDescent="0.3">
      <c r="A20" s="16" t="s">
        <v>24</v>
      </c>
      <c r="B20" s="13">
        <v>5664156</v>
      </c>
      <c r="C20" s="14">
        <v>1859.1137387387389</v>
      </c>
    </row>
    <row r="21" spans="1:3" x14ac:dyDescent="0.3">
      <c r="A21" s="16" t="s">
        <v>26</v>
      </c>
      <c r="B21" s="13">
        <v>879727.5</v>
      </c>
      <c r="C21" s="14">
        <v>257.71621621621625</v>
      </c>
    </row>
    <row r="22" spans="1:3" x14ac:dyDescent="0.3">
      <c r="A22" s="16" t="s">
        <v>28</v>
      </c>
      <c r="B22" s="13">
        <v>4962359217.0623999</v>
      </c>
      <c r="C22" s="14">
        <v>1387963.3074324324</v>
      </c>
    </row>
  </sheetData>
  <sortState xmlns:xlrd2="http://schemas.microsoft.com/office/spreadsheetml/2017/richdata2" columnSort="1" ref="A3:C22">
    <sortCondition descending="1" ref="C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F58B-F677-47E4-9A45-773254980F61}">
  <dimension ref="A1:C8"/>
  <sheetViews>
    <sheetView tabSelected="1" workbookViewId="0">
      <selection activeCell="P5" sqref="P5"/>
    </sheetView>
  </sheetViews>
  <sheetFormatPr defaultRowHeight="14.4" x14ac:dyDescent="0.3"/>
  <cols>
    <col min="1" max="1" width="12" customWidth="1"/>
    <col min="2" max="2" width="14.21875" customWidth="1"/>
    <col min="3" max="3" width="12.109375" customWidth="1"/>
  </cols>
  <sheetData>
    <row r="1" spans="1:3" x14ac:dyDescent="0.3">
      <c r="A1" t="str" cm="1">
        <f t="array" ref="A1:A8">_xlfn.UNIQUE(Лист1!I:I)</f>
        <v>Неделя</v>
      </c>
      <c r="B1" t="s">
        <v>47</v>
      </c>
      <c r="C1" t="s">
        <v>48</v>
      </c>
    </row>
    <row r="2" spans="1:3" x14ac:dyDescent="0.3">
      <c r="A2">
        <v>22</v>
      </c>
      <c r="B2">
        <f>SUMIF(Лист1!I$2:I$505, Лист5!A2, Лист1!C$2:C$505)</f>
        <v>10730598</v>
      </c>
      <c r="C2">
        <f>SUMIF(Лист1!I$2:I$505, Лист5!A2, Лист1!E$2:E$505)</f>
        <v>4026</v>
      </c>
    </row>
    <row r="3" spans="1:3" x14ac:dyDescent="0.3">
      <c r="A3">
        <v>20</v>
      </c>
      <c r="B3">
        <f>SUMIF(Лист1!I$2:I$505, Лист5!A3, Лист1!C$2:C$505)</f>
        <v>9594378</v>
      </c>
      <c r="C3">
        <f>SUMIF(Лист1!I$2:I$505, Лист5!A3, Лист1!E$2:E$505)</f>
        <v>3528</v>
      </c>
    </row>
    <row r="4" spans="1:3" x14ac:dyDescent="0.3">
      <c r="A4">
        <v>21</v>
      </c>
      <c r="B4">
        <f>SUMIF(Лист1!I$2:I$505, Лист5!A4, Лист1!C$2:C$505)</f>
        <v>10475296.5</v>
      </c>
      <c r="C4">
        <f>SUMIF(Лист1!I$2:I$505, Лист5!A4, Лист1!E$2:E$505)</f>
        <v>3528</v>
      </c>
    </row>
    <row r="5" spans="1:3" x14ac:dyDescent="0.3">
      <c r="A5">
        <v>19</v>
      </c>
      <c r="B5">
        <f>SUMIF(Лист1!I$2:I$505, Лист5!A5, Лист1!C$2:C$505)</f>
        <v>9783292.5</v>
      </c>
      <c r="C5">
        <f>SUMIF(Лист1!I$2:I$505, Лист5!A5, Лист1!E$2:E$505)</f>
        <v>3528</v>
      </c>
    </row>
    <row r="6" spans="1:3" x14ac:dyDescent="0.3">
      <c r="A6">
        <v>18</v>
      </c>
      <c r="B6">
        <f>SUMIF(Лист1!I$2:I$505, Лист5!A6, Лист1!C$2:C$505)</f>
        <v>8240286</v>
      </c>
      <c r="C6">
        <f>SUMIF(Лист1!I$2:I$505, Лист5!A6, Лист1!E$2:E$505)</f>
        <v>2952</v>
      </c>
    </row>
    <row r="7" spans="1:3" x14ac:dyDescent="0.3">
      <c r="A7">
        <v>23</v>
      </c>
      <c r="B7">
        <f>SUMIF(Лист1!I$2:I$505, Лист5!A7, Лист1!C$2:C$505)</f>
        <v>1354929</v>
      </c>
      <c r="C7">
        <f>SUMIF(Лист1!I$2:I$505, Лист5!A7, Лист1!E$2:E$505)</f>
        <v>666</v>
      </c>
    </row>
    <row r="8" spans="1:3" x14ac:dyDescent="0.3">
      <c r="A8">
        <v>0</v>
      </c>
      <c r="B8">
        <f>SUMIF(Лист1!I$2:I$505, Лист5!A8, Лист1!C$2:C$505)</f>
        <v>0</v>
      </c>
      <c r="C8">
        <f>SUMIF(Лист1!I$2:I$505, Лист5!A8, Лист1!E$2:E$505)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свод.таб</vt:lpstr>
      <vt:lpstr>топ-3 территорий</vt:lpstr>
      <vt:lpstr>Лист5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Жанна Бельтюкова</cp:lastModifiedBy>
  <dcterms:created xsi:type="dcterms:W3CDTF">2021-09-13T10:17:58Z</dcterms:created>
  <dcterms:modified xsi:type="dcterms:W3CDTF">2026-01-08T02:37:52Z</dcterms:modified>
</cp:coreProperties>
</file>